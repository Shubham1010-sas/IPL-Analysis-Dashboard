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40009_{6C7492F1-2F75-4BD6-BF5D-2DA839190894}" xr6:coauthVersionLast="47" xr6:coauthVersionMax="47" xr10:uidLastSave="{00000000-0000-0000-0000-000000000000}"/>
  <bookViews>
    <workbookView xWindow="-110" yWindow="-110" windowWidth="19420" windowHeight="10300" activeTab="1"/>
  </bookViews>
  <sheets>
    <sheet name="matches" sheetId="1" r:id="rId1"/>
    <sheet name="Sheet1" sheetId="2" r:id="rId2"/>
  </sheets>
  <calcPr calcId="0"/>
  <pivotCaches>
    <pivotCache cacheId="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AA2" i="1"/>
  <c r="X2" i="1"/>
  <c r="U2" i="1"/>
</calcChain>
</file>

<file path=xl/sharedStrings.xml><?xml version="1.0" encoding="utf-8"?>
<sst xmlns="http://schemas.openxmlformats.org/spreadsheetml/2006/main" count="9723" uniqueCount="777">
  <si>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</si>
  <si>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</si>
  <si>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</si>
  <si>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</si>
  <si>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</si>
  <si>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</si>
  <si>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</si>
  <si>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</si>
  <si>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</si>
  <si>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</si>
  <si>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</si>
  <si>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</si>
  <si>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</si>
  <si>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</si>
  <si>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</si>
  <si>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</si>
  <si>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</si>
  <si>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</si>
  <si>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IPL-2017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</si>
  <si>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</si>
  <si>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</si>
  <si>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</si>
  <si>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</si>
  <si>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</si>
  <si>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</si>
  <si>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</si>
  <si>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</si>
  <si>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</si>
  <si>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</si>
  <si>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</si>
  <si>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</si>
  <si>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</si>
  <si>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</si>
  <si>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</si>
  <si>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</si>
  <si>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</si>
  <si>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</si>
  <si>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</si>
  <si>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</si>
  <si>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</si>
  <si>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</si>
  <si>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</si>
  <si>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</si>
  <si>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</si>
  <si>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</si>
  <si>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</si>
  <si>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</si>
  <si>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</si>
  <si>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</si>
  <si>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</si>
  <si>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</si>
  <si>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</si>
  <si>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</si>
  <si>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</si>
  <si>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</si>
  <si>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</si>
  <si>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</si>
  <si>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</si>
  <si>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</si>
  <si>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</si>
  <si>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</si>
  <si>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</si>
  <si>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13-04-2017</t>
  </si>
  <si>
    <t>SP Narine</t>
  </si>
  <si>
    <t>Eden Gardens</t>
  </si>
  <si>
    <t>14-04-2017</t>
  </si>
  <si>
    <t>KA Pollard</t>
  </si>
  <si>
    <t>KN Ananthapadmanabhan</t>
  </si>
  <si>
    <t>AJ Tye</t>
  </si>
  <si>
    <t>15-04-2017</t>
  </si>
  <si>
    <t>RV Uthappa</t>
  </si>
  <si>
    <t>Delhi</t>
  </si>
  <si>
    <t>CJ Anderson</t>
  </si>
  <si>
    <t>Feroz Shah Kotla</t>
  </si>
  <si>
    <t>YC Barde</t>
  </si>
  <si>
    <t>16-04-2017</t>
  </si>
  <si>
    <t>BA Stokes</t>
  </si>
  <si>
    <t>17-04-2017</t>
  </si>
  <si>
    <t>NM Coulter-Nile</t>
  </si>
  <si>
    <t>B Kumar</t>
  </si>
  <si>
    <t>18-04-2017</t>
  </si>
  <si>
    <t>CH Gayle</t>
  </si>
  <si>
    <t>VK Sharma</t>
  </si>
  <si>
    <t>19-04-2017</t>
  </si>
  <si>
    <t>KS Williamson</t>
  </si>
  <si>
    <t>CB Gaffaney</t>
  </si>
  <si>
    <t>20-04-2017</t>
  </si>
  <si>
    <t>JC Buttler</t>
  </si>
  <si>
    <t>M Erasmus</t>
  </si>
  <si>
    <t>21-04-2017</t>
  </si>
  <si>
    <t>SK Raina</t>
  </si>
  <si>
    <t>22-04-2017</t>
  </si>
  <si>
    <t>MJ McClenaghan</t>
  </si>
  <si>
    <t>MS Dhoni</t>
  </si>
  <si>
    <t>23-04-2017</t>
  </si>
  <si>
    <t>HM Amla</t>
  </si>
  <si>
    <t>24-04-2017</t>
  </si>
  <si>
    <t>26-04-2017</t>
  </si>
  <si>
    <t>27-04-2017</t>
  </si>
  <si>
    <t>28-04-2017</t>
  </si>
  <si>
    <t>G Gambhir</t>
  </si>
  <si>
    <t>Chandigarh</t>
  </si>
  <si>
    <t>Punjab Cricket Association IS Bindra Stadium, Mohali</t>
  </si>
  <si>
    <t>29-04-2017</t>
  </si>
  <si>
    <t>LH Ferguson</t>
  </si>
  <si>
    <t>tie</t>
  </si>
  <si>
    <t>KH Pandya</t>
  </si>
  <si>
    <t>30-04-2017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</si>
  <si>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</si>
  <si>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</si>
  <si>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</si>
  <si>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</si>
  <si>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</si>
  <si>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</si>
  <si>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</si>
  <si>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</si>
  <si>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</si>
  <si>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</si>
  <si>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</si>
  <si>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</si>
  <si>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</si>
  <si>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</si>
  <si>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</si>
  <si>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</si>
  <si>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13-05-2017</t>
  </si>
  <si>
    <t>Mohammed Siraj</t>
  </si>
  <si>
    <t>AT Rayudu</t>
  </si>
  <si>
    <t>14-05-2017</t>
  </si>
  <si>
    <t>HV Patel</t>
  </si>
  <si>
    <t>16-05-2017</t>
  </si>
  <si>
    <t>Washington Sundar</t>
  </si>
  <si>
    <t>17-05-2017</t>
  </si>
  <si>
    <t>19-05-2017</t>
  </si>
  <si>
    <t>KV Sharma</t>
  </si>
  <si>
    <t>21-05-2017</t>
  </si>
  <si>
    <t>IPL-2008</t>
  </si>
  <si>
    <t>18-04-2008</t>
  </si>
  <si>
    <t>BB McCullum</t>
  </si>
  <si>
    <t>Asad Rauf</t>
  </si>
  <si>
    <t>RE Koertzen</t>
  </si>
  <si>
    <t>19-04-2008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</si>
  <si>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</si>
  <si>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</si>
  <si>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</si>
  <si>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</si>
  <si>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</si>
  <si>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</si>
  <si>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</si>
  <si>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</si>
  <si>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</si>
  <si>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20-04-2008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</si>
  <si>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</si>
  <si>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</si>
  <si>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</si>
  <si>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</si>
  <si>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</si>
  <si>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</si>
  <si>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</si>
  <si>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</si>
  <si>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21-04-2008</t>
  </si>
  <si>
    <t>SR Watson</t>
  </si>
  <si>
    <t>Sawai Mansingh Stadium</t>
  </si>
  <si>
    <t>RB Tiffin</t>
  </si>
  <si>
    <t>22-04-2008</t>
  </si>
  <si>
    <t>V Sehwag</t>
  </si>
  <si>
    <t>IL Howell</t>
  </si>
  <si>
    <t>AM Saheba</t>
  </si>
  <si>
    <t>Chennai</t>
  </si>
  <si>
    <t>23-04-2008</t>
  </si>
  <si>
    <t>ML Hayden</t>
  </si>
  <si>
    <t>MA Chidambaram Stadium, Chepauk</t>
  </si>
  <si>
    <t>24-04-2008</t>
  </si>
  <si>
    <t>YK Pathan</t>
  </si>
  <si>
    <t>25-04-2008</t>
  </si>
  <si>
    <t>KC Sangakkara</t>
  </si>
  <si>
    <t>26-04-2008</t>
  </si>
  <si>
    <t>JDP Oram</t>
  </si>
  <si>
    <t>AV Jayaprakash</t>
  </si>
  <si>
    <t>27-04-2008</t>
  </si>
  <si>
    <t>AC Gilchrist</t>
  </si>
  <si>
    <t>Dr DY Patil Sports Academy</t>
  </si>
  <si>
    <t>SM Katich</t>
  </si>
  <si>
    <t>I Shivram</t>
  </si>
  <si>
    <t>28-04-2008</t>
  </si>
  <si>
    <t>BR Doctrove</t>
  </si>
  <si>
    <t>29-04-2008</t>
  </si>
  <si>
    <t>ST Jayasuriya</t>
  </si>
  <si>
    <t>30-04-2008</t>
  </si>
  <si>
    <t>GD McGrath</t>
  </si>
  <si>
    <t>SE Marsh</t>
  </si>
  <si>
    <t>SA Asnodkar</t>
  </si>
  <si>
    <t>25-05-2008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</si>
  <si>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</si>
  <si>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</si>
  <si>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</si>
  <si>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</si>
  <si>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</si>
  <si>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</si>
  <si>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</si>
  <si>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28-05-2008</t>
  </si>
  <si>
    <t>CRD Fernando</t>
  </si>
  <si>
    <t>L Balaji</t>
  </si>
  <si>
    <t>BG Jerling</t>
  </si>
  <si>
    <t>13-05-2008</t>
  </si>
  <si>
    <t>Shoaib Akhtar</t>
  </si>
  <si>
    <t>14-05-2008</t>
  </si>
  <si>
    <t>15-05-2008</t>
  </si>
  <si>
    <t>A Mishra</t>
  </si>
  <si>
    <t>16-05-2008</t>
  </si>
  <si>
    <t>17-05-2008</t>
  </si>
  <si>
    <t>DPMD Jayawardene</t>
  </si>
  <si>
    <t>GC Smith</t>
  </si>
  <si>
    <t>18-05-2008</t>
  </si>
  <si>
    <t>DJ Bravo</t>
  </si>
  <si>
    <t>M Ntini</t>
  </si>
  <si>
    <t>19-05-2008</t>
  </si>
  <si>
    <t>SP Goswami</t>
  </si>
  <si>
    <t>20-05-2008</t>
  </si>
  <si>
    <t>21-05-2008</t>
  </si>
  <si>
    <t>A Kumble</t>
  </si>
  <si>
    <t>23-05-2008</t>
  </si>
  <si>
    <t>24-05-2008</t>
  </si>
  <si>
    <t>KD Karthik</t>
  </si>
  <si>
    <t>JA Morkel</t>
  </si>
  <si>
    <t>P Kumar</t>
  </si>
  <si>
    <t>Umar Gul</t>
  </si>
  <si>
    <t>26-05-2008</t>
  </si>
  <si>
    <t>27-05-2008</t>
  </si>
  <si>
    <t>30-05-2008</t>
  </si>
  <si>
    <t>31-05-2008</t>
  </si>
  <si>
    <t>IPL-2009</t>
  </si>
  <si>
    <t>Cape Town</t>
  </si>
  <si>
    <t>18-04-2009</t>
  </si>
  <si>
    <t>SR Tendulkar</t>
  </si>
  <si>
    <t>Newlands</t>
  </si>
  <si>
    <t>R Dravid</t>
  </si>
  <si>
    <t>19-04-2009</t>
  </si>
  <si>
    <t>DL Vettori</t>
  </si>
  <si>
    <t>SD Ranade</t>
  </si>
  <si>
    <t>RP Singh</t>
  </si>
  <si>
    <t>Port Elizabeth</t>
  </si>
  <si>
    <t>20-04-2009</t>
  </si>
  <si>
    <t>M Muralitharan</t>
  </si>
  <si>
    <t>St George's Park</t>
  </si>
  <si>
    <t>SJA Taufel</t>
  </si>
  <si>
    <t>Durban</t>
  </si>
  <si>
    <t>21-04-2009</t>
  </si>
  <si>
    <t>Kingsmead</t>
  </si>
  <si>
    <t>22-04-2009</t>
  </si>
  <si>
    <t>23-04-2009</t>
  </si>
  <si>
    <t>AB de Villiers</t>
  </si>
  <si>
    <t>24-04-2009</t>
  </si>
  <si>
    <t>RS Bopara</t>
  </si>
  <si>
    <t>TH Wijewardene</t>
  </si>
  <si>
    <t>25-04-2009</t>
  </si>
  <si>
    <t>PP Ojha</t>
  </si>
  <si>
    <t>HDPK Dharmasena</t>
  </si>
  <si>
    <t>26-04-2009</t>
  </si>
  <si>
    <t>TM Dilshan</t>
  </si>
  <si>
    <t>S Asnani</t>
  </si>
  <si>
    <t>27-04-2009</t>
  </si>
  <si>
    <t>HH Gibbs</t>
  </si>
  <si>
    <t>Centurion</t>
  </si>
  <si>
    <t>28-04-2009</t>
  </si>
  <si>
    <t>SuperSport Park</t>
  </si>
  <si>
    <t>GAV Baxter</t>
  </si>
  <si>
    <t>29-04-2009</t>
  </si>
  <si>
    <t>30-04-2009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</si>
  <si>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</si>
  <si>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</si>
  <si>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</si>
  <si>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</si>
  <si>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</si>
  <si>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</si>
  <si>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</si>
  <si>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</si>
  <si>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</si>
  <si>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</si>
  <si>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</si>
  <si>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</si>
  <si>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</si>
  <si>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</si>
  <si>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</si>
  <si>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</si>
  <si>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13-05-2009</t>
  </si>
  <si>
    <t>R Bhatia</t>
  </si>
  <si>
    <t>14-05-2009</t>
  </si>
  <si>
    <t>SK Warne</t>
  </si>
  <si>
    <t>Bloemfontein</t>
  </si>
  <si>
    <t>15-05-2009</t>
  </si>
  <si>
    <t>B Lee</t>
  </si>
  <si>
    <t>OUTsurance Oval</t>
  </si>
  <si>
    <t>16-05-2009</t>
  </si>
  <si>
    <t>17-05-2009</t>
  </si>
  <si>
    <t>18-05-2009</t>
  </si>
  <si>
    <t>BJ Hodge</t>
  </si>
  <si>
    <t>19-05-2009</t>
  </si>
  <si>
    <t>20-05-2009</t>
  </si>
  <si>
    <t>LR Shukla</t>
  </si>
  <si>
    <t>21-05-2009</t>
  </si>
  <si>
    <t>MK Pandey</t>
  </si>
  <si>
    <t>22-05-2009</t>
  </si>
  <si>
    <t>23-05-2009</t>
  </si>
  <si>
    <t>24-05-2009</t>
  </si>
  <si>
    <t>IPL-2010</t>
  </si>
  <si>
    <t>AD Mathews</t>
  </si>
  <si>
    <t>13-03-2010</t>
  </si>
  <si>
    <t>Brabourne Stadium</t>
  </si>
  <si>
    <t>14-03-2010</t>
  </si>
  <si>
    <t>MK Tiwary</t>
  </si>
  <si>
    <t>WPUJC Vaas</t>
  </si>
  <si>
    <t>Ahmedabad</t>
  </si>
  <si>
    <t>15-03-2010</t>
  </si>
  <si>
    <t>Sardar Patel Stadium, Motera</t>
  </si>
  <si>
    <t>16-03-2010</t>
  </si>
  <si>
    <t>S Das</t>
  </si>
  <si>
    <t>17-03-2010</t>
  </si>
  <si>
    <t>18-03-2010</t>
  </si>
  <si>
    <t>19-03-2010</t>
  </si>
  <si>
    <t>Cuttack</t>
  </si>
  <si>
    <t>A Symonds</t>
  </si>
  <si>
    <t>Barabati Stadium</t>
  </si>
  <si>
    <t>20-03-2010</t>
  </si>
  <si>
    <t>AA Jhunjhunwala</t>
  </si>
  <si>
    <t>21-03-2010</t>
  </si>
  <si>
    <t>J Theron</t>
  </si>
  <si>
    <t>22-03-2010</t>
  </si>
  <si>
    <t>23-03-2010</t>
  </si>
  <si>
    <t>24-03-2010</t>
  </si>
  <si>
    <t>AC Voges</t>
  </si>
  <si>
    <t>25-03-2010</t>
  </si>
  <si>
    <t>26-03-2010</t>
  </si>
  <si>
    <t>27-03-2010</t>
  </si>
  <si>
    <t>28-03-2010</t>
  </si>
  <si>
    <t>NV Ojha</t>
  </si>
  <si>
    <t>29-03-2010</t>
  </si>
  <si>
    <t>30-03-2010</t>
  </si>
  <si>
    <t>SL Malinga</t>
  </si>
  <si>
    <t>31-03-2010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</si>
  <si>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</si>
  <si>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</si>
  <si>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</si>
  <si>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</si>
  <si>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</si>
  <si>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</si>
  <si>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</si>
  <si>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</si>
  <si>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</si>
  <si>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</si>
  <si>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13-04-2010</t>
  </si>
  <si>
    <t>R Ashwin</t>
  </si>
  <si>
    <t>14-04-2010</t>
  </si>
  <si>
    <t>15-04-2010</t>
  </si>
  <si>
    <t>Dharamsala</t>
  </si>
  <si>
    <t>16-04-2010</t>
  </si>
  <si>
    <t>Himachal Pradesh Cricket Association Stadium</t>
  </si>
  <si>
    <t>17-04-2010</t>
  </si>
  <si>
    <t>R McLaren</t>
  </si>
  <si>
    <t>18-04-2010</t>
  </si>
  <si>
    <t>19-04-2010</t>
  </si>
  <si>
    <t>M Kartik</t>
  </si>
  <si>
    <t>21-04-2010</t>
  </si>
  <si>
    <t>22-04-2010</t>
  </si>
  <si>
    <t>DE Bollinger</t>
  </si>
  <si>
    <t>24-04-2010</t>
  </si>
  <si>
    <t>25-04-2010</t>
  </si>
  <si>
    <t>IPL-2011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</si>
  <si>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</si>
  <si>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</si>
  <si>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</si>
  <si>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</si>
  <si>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</si>
  <si>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</si>
  <si>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</si>
  <si>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</si>
  <si>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</si>
  <si>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13-04-2011</t>
  </si>
  <si>
    <t>PC Valthaty</t>
  </si>
  <si>
    <t>MD Mishra</t>
  </si>
  <si>
    <t>14-04-2011</t>
  </si>
  <si>
    <t>DW Steyn</t>
  </si>
  <si>
    <t>15-04-2011</t>
  </si>
  <si>
    <t>16-04-2011</t>
  </si>
  <si>
    <t>17-04-2011</t>
  </si>
  <si>
    <t>18-04-2011</t>
  </si>
  <si>
    <t>19-04-2011</t>
  </si>
  <si>
    <t>S Sohal</t>
  </si>
  <si>
    <t>RJ Tucker</t>
  </si>
  <si>
    <t>20-04-2011</t>
  </si>
  <si>
    <t>MM Patel</t>
  </si>
  <si>
    <t>21-04-2011</t>
  </si>
  <si>
    <t>22-04-2011</t>
  </si>
  <si>
    <t>23-04-2011</t>
  </si>
  <si>
    <t>24-04-2011</t>
  </si>
  <si>
    <t>25-04-2011</t>
  </si>
  <si>
    <t>26-04-2011</t>
  </si>
  <si>
    <t>V Kohli</t>
  </si>
  <si>
    <t>27-04-2011</t>
  </si>
  <si>
    <t>I Sharma</t>
  </si>
  <si>
    <t>28-04-2011</t>
  </si>
  <si>
    <t>29-04-2011</t>
  </si>
  <si>
    <t>J Botha</t>
  </si>
  <si>
    <t>30-04-2011</t>
  </si>
  <si>
    <t>Iqbal Abdulla</t>
  </si>
  <si>
    <t>P Parameswaran</t>
  </si>
  <si>
    <t>R Sharma</t>
  </si>
  <si>
    <t>MR Marsh</t>
  </si>
  <si>
    <t>BA Bhatt</t>
  </si>
  <si>
    <t>S Aravind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</si>
  <si>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</si>
  <si>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</si>
  <si>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</si>
  <si>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</si>
  <si>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</si>
  <si>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</si>
  <si>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</si>
  <si>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</si>
  <si>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</si>
  <si>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no result</t>
  </si>
  <si>
    <t>22-05-2011</t>
  </si>
  <si>
    <t>JEC Franklin</t>
  </si>
  <si>
    <t>24-05-2011</t>
  </si>
  <si>
    <t>25-05-2011</t>
  </si>
  <si>
    <t>27-05-2011</t>
  </si>
  <si>
    <t>28-05-2011</t>
  </si>
  <si>
    <t>IPL-2012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</si>
  <si>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</si>
  <si>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</si>
  <si>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</si>
  <si>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</si>
  <si>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</si>
  <si>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</si>
  <si>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</si>
  <si>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</si>
  <si>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</si>
  <si>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</si>
  <si>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</si>
  <si>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</si>
  <si>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</si>
  <si>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13-04-2012</t>
  </si>
  <si>
    <t>Shakib Al Hasan</t>
  </si>
  <si>
    <t>19-04-2012</t>
  </si>
  <si>
    <t>14-04-2012</t>
  </si>
  <si>
    <t>JD Ryder</t>
  </si>
  <si>
    <t>15-04-2012</t>
  </si>
  <si>
    <t>16-04-2012</t>
  </si>
  <si>
    <t>S Nadeem</t>
  </si>
  <si>
    <t>17-04-2012</t>
  </si>
  <si>
    <t>18-04-2012</t>
  </si>
  <si>
    <t>KMDN Kulasekara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</si>
  <si>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</si>
  <si>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</si>
  <si>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</si>
  <si>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</si>
  <si>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</si>
  <si>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</si>
  <si>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</si>
  <si>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CL White</t>
  </si>
  <si>
    <t>27-04-2012</t>
  </si>
  <si>
    <t>28-04-2012</t>
  </si>
  <si>
    <t>Mandeep Singh</t>
  </si>
  <si>
    <t>29-04-2012</t>
  </si>
  <si>
    <t>30-04-2012</t>
  </si>
  <si>
    <t>P Negi</t>
  </si>
  <si>
    <t>Azhar Mahmood</t>
  </si>
  <si>
    <t>BW Hilfenhaus</t>
  </si>
  <si>
    <t>13-05-2012</t>
  </si>
  <si>
    <t>A Chandila</t>
  </si>
  <si>
    <t>14-05-2012</t>
  </si>
  <si>
    <t>15-05-2012</t>
  </si>
  <si>
    <t>UT Yadav</t>
  </si>
  <si>
    <t>16-05-2012</t>
  </si>
  <si>
    <t>17-05-2012</t>
  </si>
  <si>
    <t>18-05-2012</t>
  </si>
  <si>
    <t>19-05-2012</t>
  </si>
  <si>
    <t>20-05-2012</t>
  </si>
  <si>
    <t>22-05-2012</t>
  </si>
  <si>
    <t>23-05-2012</t>
  </si>
  <si>
    <t>25-05-2012</t>
  </si>
  <si>
    <t>27-05-2012</t>
  </si>
  <si>
    <t>MS Bisla</t>
  </si>
  <si>
    <t>IPL-2013</t>
  </si>
  <si>
    <t>M Vohra</t>
  </si>
  <si>
    <t>GH Vihari</t>
  </si>
  <si>
    <t>AJ Finch</t>
  </si>
  <si>
    <t>K Srinath</t>
  </si>
  <si>
    <t>Subroto Das</t>
  </si>
  <si>
    <t>13-04-2013</t>
  </si>
  <si>
    <t>14-04-2013</t>
  </si>
  <si>
    <t>JP Faulkner</t>
  </si>
  <si>
    <t>15-04-2013</t>
  </si>
  <si>
    <t>16-04-2013</t>
  </si>
  <si>
    <t>MS Gony</t>
  </si>
  <si>
    <t>17-04-2013</t>
  </si>
  <si>
    <t>18-04-2013</t>
  </si>
  <si>
    <t>19-04-2013</t>
  </si>
  <si>
    <t>20-04-2013</t>
  </si>
  <si>
    <t>21-04-2013</t>
  </si>
  <si>
    <t>DA Miller</t>
  </si>
  <si>
    <t>22-04-2013</t>
  </si>
  <si>
    <t>23-04-2013</t>
  </si>
  <si>
    <t>16-05-2013</t>
  </si>
  <si>
    <t>24-04-2013</t>
  </si>
  <si>
    <t>25-04-2013</t>
  </si>
  <si>
    <t>26-04-2013</t>
  </si>
  <si>
    <t>27-04-2013</t>
  </si>
  <si>
    <t>28-04-2013</t>
  </si>
  <si>
    <t>Raipur</t>
  </si>
  <si>
    <t>Shaheed Veer Narayan Singh International Stadium</t>
  </si>
  <si>
    <t>29-04-2013</t>
  </si>
  <si>
    <t>30-04-2013</t>
  </si>
  <si>
    <t>DJG Sammy</t>
  </si>
  <si>
    <t>14-05-2013</t>
  </si>
  <si>
    <t>MG Johnson</t>
  </si>
  <si>
    <t>KK Cooper</t>
  </si>
  <si>
    <t>PA Patel</t>
  </si>
  <si>
    <t>Ranchi</t>
  </si>
  <si>
    <t>JSCA International Stadium Complex</t>
  </si>
  <si>
    <t>13-05-2013</t>
  </si>
  <si>
    <t>15-05-2013</t>
  </si>
  <si>
    <t>AP Tare</t>
  </si>
  <si>
    <t>17-05-2013</t>
  </si>
  <si>
    <t>18-05-2013</t>
  </si>
  <si>
    <t>19-05-2013</t>
  </si>
  <si>
    <t>LJ Wright</t>
  </si>
  <si>
    <t>21-05-2013</t>
  </si>
  <si>
    <t>22-05-2013</t>
  </si>
  <si>
    <t>24-05-2013</t>
  </si>
  <si>
    <t>26-05-2013</t>
  </si>
  <si>
    <t>IPL-2014</t>
  </si>
  <si>
    <t>Abu Dhabi</t>
  </si>
  <si>
    <t>16-04-2014</t>
  </si>
  <si>
    <t>Sheikh Zayed Stadium</t>
  </si>
  <si>
    <t>RK Illingworth</t>
  </si>
  <si>
    <t>Sharjah</t>
  </si>
  <si>
    <t>17-04-2014</t>
  </si>
  <si>
    <t>YS Chahal</t>
  </si>
  <si>
    <t>Sharjah Cricket Stadium</t>
  </si>
  <si>
    <t>18-04-2014</t>
  </si>
  <si>
    <t>19-04-2014</t>
  </si>
  <si>
    <t>Dubai International Cricket Stadium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</si>
  <si>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</si>
  <si>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</si>
  <si>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</si>
  <si>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</si>
  <si>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</si>
  <si>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</si>
  <si>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</si>
  <si>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PV Tambe</t>
  </si>
  <si>
    <t>27-04-2014</t>
  </si>
  <si>
    <t>28-04-2014</t>
  </si>
  <si>
    <t>29-04-2014</t>
  </si>
  <si>
    <t>30-04-2014</t>
  </si>
  <si>
    <t>RM Deshpande</t>
  </si>
  <si>
    <t>PG Pathak</t>
  </si>
  <si>
    <t>13-05-2014</t>
  </si>
  <si>
    <t>14-05-2014</t>
  </si>
  <si>
    <t>15-05-2014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</si>
  <si>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</si>
  <si>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</si>
  <si>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</si>
  <si>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</si>
  <si>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</si>
  <si>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</si>
  <si>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</si>
  <si>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</si>
  <si>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27-05-2014</t>
  </si>
  <si>
    <t>28-05-2014</t>
  </si>
  <si>
    <t>30-05-2014</t>
  </si>
  <si>
    <t>IPL-2015</t>
  </si>
  <si>
    <t>SD Fry</t>
  </si>
  <si>
    <t>DJ Hooda</t>
  </si>
  <si>
    <t>GJ Bailey</t>
  </si>
  <si>
    <t>K Srinivasan</t>
  </si>
  <si>
    <t>13-04-2015</t>
  </si>
  <si>
    <t>14-04-2015</t>
  </si>
  <si>
    <t>30-04-2015</t>
  </si>
  <si>
    <t>AD Russell</t>
  </si>
  <si>
    <t>15-04-2015</t>
  </si>
  <si>
    <t>MA Agarwal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</si>
  <si>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</si>
  <si>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</si>
  <si>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</si>
  <si>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</si>
  <si>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</si>
  <si>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</si>
  <si>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</si>
  <si>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</si>
  <si>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</si>
  <si>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MA Starc</t>
  </si>
  <si>
    <t>25-04-2015</t>
  </si>
  <si>
    <t>26-04-2015</t>
  </si>
  <si>
    <t>VR Aaron</t>
  </si>
  <si>
    <t>27-04-2015</t>
  </si>
  <si>
    <t>TA Boult</t>
  </si>
  <si>
    <t>29-04-2015</t>
  </si>
  <si>
    <t>28-04-2015</t>
  </si>
  <si>
    <t>EJG Morgan</t>
  </si>
  <si>
    <t>HH Pandya</t>
  </si>
  <si>
    <t>MC Henriques</t>
  </si>
  <si>
    <t>Z Khan</t>
  </si>
  <si>
    <t>13-05-2015</t>
  </si>
  <si>
    <t>14-05-2015</t>
  </si>
  <si>
    <t>15-05-2015</t>
  </si>
  <si>
    <t>16-05-2015</t>
  </si>
  <si>
    <t>17-05-2015</t>
  </si>
  <si>
    <t>19-05-2015</t>
  </si>
  <si>
    <t>20-05-2015</t>
  </si>
  <si>
    <t>22-05-2015</t>
  </si>
  <si>
    <t>24-05-2015</t>
  </si>
  <si>
    <t>IPL-2016</t>
  </si>
  <si>
    <t>Rising Pune Supergiants</t>
  </si>
  <si>
    <t>13-04-2016</t>
  </si>
  <si>
    <t>14-04-2016</t>
  </si>
  <si>
    <t>15-04-2016</t>
  </si>
  <si>
    <t>16-04-2016</t>
  </si>
  <si>
    <t>17-04-2016</t>
  </si>
  <si>
    <t>Q de Kock</t>
  </si>
  <si>
    <t>18-04-2016</t>
  </si>
  <si>
    <t>19-04-2016</t>
  </si>
  <si>
    <t>20-04-2016</t>
  </si>
  <si>
    <t>21-04-2016</t>
  </si>
  <si>
    <t>K Bharatan</t>
  </si>
  <si>
    <t>22-04-2016</t>
  </si>
  <si>
    <t>23-04-2016</t>
  </si>
  <si>
    <t>Mustafizur Rahman</t>
  </si>
  <si>
    <t>24-04-2016</t>
  </si>
  <si>
    <t>SA Yadav</t>
  </si>
  <si>
    <t>25-04-2016</t>
  </si>
  <si>
    <t>26-04-2016</t>
  </si>
  <si>
    <t>AB Dinda</t>
  </si>
  <si>
    <t>27-04-2016</t>
  </si>
  <si>
    <t>CH Morris</t>
  </si>
  <si>
    <t>28-04-2016</t>
  </si>
  <si>
    <t>29-04-2016</t>
  </si>
  <si>
    <t>30-04-2016</t>
  </si>
  <si>
    <t>CR Brathwaite</t>
  </si>
  <si>
    <t>MP Stoinis</t>
  </si>
  <si>
    <t>A Zampa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</si>
  <si>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</si>
  <si>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</si>
  <si>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</si>
  <si>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</si>
  <si>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</si>
  <si>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</si>
  <si>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</si>
  <si>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</si>
  <si>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</si>
  <si>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</si>
  <si>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24-05-2016</t>
  </si>
  <si>
    <t>25-05-2016</t>
  </si>
  <si>
    <t>27-05-2016</t>
  </si>
  <si>
    <t>29-05-2016</t>
  </si>
  <si>
    <t>BCJ Cutting</t>
  </si>
  <si>
    <t>IPL-2018</t>
  </si>
  <si>
    <t>Chris Gaffaney</t>
  </si>
  <si>
    <t>A Nanda Kishore</t>
  </si>
  <si>
    <t>Anil Chaudhary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</si>
  <si>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</si>
  <si>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</si>
  <si>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</si>
  <si>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</si>
  <si>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</si>
  <si>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</si>
  <si>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</si>
  <si>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O Nandan</t>
  </si>
  <si>
    <t>SW Billings</t>
  </si>
  <si>
    <t>Bengaluru</t>
  </si>
  <si>
    <t>13-04-2018</t>
  </si>
  <si>
    <t>14-04-2018</t>
  </si>
  <si>
    <t>JJ Roy</t>
  </si>
  <si>
    <t>B Stanlake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</si>
  <si>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</si>
  <si>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</si>
  <si>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</si>
  <si>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</si>
  <si>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</si>
  <si>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</si>
  <si>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</si>
  <si>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</si>
  <si>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J Archer</t>
  </si>
  <si>
    <t>23-04-2018</t>
  </si>
  <si>
    <t>AS Rajpoot</t>
  </si>
  <si>
    <t>24-04-2018</t>
  </si>
  <si>
    <t>25-04-2018</t>
  </si>
  <si>
    <t>Virender Kumar Sharma</t>
  </si>
  <si>
    <t>26-04-2018</t>
  </si>
  <si>
    <t>Yeshwant Barde</t>
  </si>
  <si>
    <t>27-04-2018</t>
  </si>
  <si>
    <t>28-04-2018</t>
  </si>
  <si>
    <t>Anil Dandekar</t>
  </si>
  <si>
    <t>29-04-2018</t>
  </si>
  <si>
    <t>Bruce Oxenford</t>
  </si>
  <si>
    <t>30-04-2018</t>
  </si>
  <si>
    <t>TG Southee</t>
  </si>
  <si>
    <t>Marais Erasmus</t>
  </si>
  <si>
    <t>Kumar Dharmasena</t>
  </si>
  <si>
    <t>AS Yadav</t>
  </si>
  <si>
    <t>M Ur Rahman</t>
  </si>
  <si>
    <t>Ishan Kishan</t>
  </si>
  <si>
    <t>13-05-2018</t>
  </si>
  <si>
    <t>14-05-2018</t>
  </si>
  <si>
    <t>15-05-2018</t>
  </si>
  <si>
    <t>Kuldeep Yadav</t>
  </si>
  <si>
    <t>16-05-2018</t>
  </si>
  <si>
    <t>17-05-2018</t>
  </si>
  <si>
    <t>18-05-2018</t>
  </si>
  <si>
    <t>19-05-2018</t>
  </si>
  <si>
    <t>S Gopal</t>
  </si>
  <si>
    <t>20-05-2018</t>
  </si>
  <si>
    <t>L Ngidi</t>
  </si>
  <si>
    <t>22-05-2018</t>
  </si>
  <si>
    <t>23-05-2018</t>
  </si>
  <si>
    <t>25-05-2018</t>
  </si>
  <si>
    <t>27-05-2018</t>
  </si>
  <si>
    <t>IPL-2019</t>
  </si>
  <si>
    <t>23-03-2019</t>
  </si>
  <si>
    <t>M. A. Chidambaram Stadium</t>
  </si>
  <si>
    <t>24-03-2019</t>
  </si>
  <si>
    <t>Delhi Capitals</t>
  </si>
  <si>
    <t>25-03-2019</t>
  </si>
  <si>
    <t>KN Anantapadmanabhan</t>
  </si>
  <si>
    <t>26-03-2019</t>
  </si>
  <si>
    <t>Feroz Shah Kotla Ground</t>
  </si>
  <si>
    <t>27-03-2019</t>
  </si>
  <si>
    <t>28-03-2019</t>
  </si>
  <si>
    <t>M. Chinnaswamy Stadium</t>
  </si>
  <si>
    <t>29-03-2019</t>
  </si>
  <si>
    <t>Rajiv Gandhi Intl. Cricket Stadium</t>
  </si>
  <si>
    <t>30-03-2019</t>
  </si>
  <si>
    <t>IS Bindra Stadium</t>
  </si>
  <si>
    <t>P Shaw</t>
  </si>
  <si>
    <t>31-03-2019</t>
  </si>
  <si>
    <t>J Bairstow</t>
  </si>
  <si>
    <t>S Curran</t>
  </si>
  <si>
    <t>A Joseph</t>
  </si>
  <si>
    <t>K Rabada</t>
  </si>
  <si>
    <t>H Gurney</t>
  </si>
  <si>
    <t>DL Chahar</t>
  </si>
  <si>
    <t>Ulhas Gandhe</t>
  </si>
  <si>
    <t>13-04-2019</t>
  </si>
  <si>
    <t>Nanda Kishore</t>
  </si>
  <si>
    <t>14-04-2019</t>
  </si>
  <si>
    <t>Imran Tahir</t>
  </si>
  <si>
    <t>K Paul</t>
  </si>
  <si>
    <t>15-04-2019</t>
  </si>
  <si>
    <t>16-04-2019</t>
  </si>
  <si>
    <t>17-04-2019</t>
  </si>
  <si>
    <t>Ian Gould</t>
  </si>
  <si>
    <t>18-04-2019</t>
  </si>
  <si>
    <t>19-04-2019</t>
  </si>
  <si>
    <t>20-04-2019</t>
  </si>
  <si>
    <t>21-04-2019</t>
  </si>
  <si>
    <t>K Ahmed</t>
  </si>
  <si>
    <t>22-04-2019</t>
  </si>
  <si>
    <t>23-04-2019</t>
  </si>
  <si>
    <t>24-04-2019</t>
  </si>
  <si>
    <t>25-04-2019</t>
  </si>
  <si>
    <t>26-04-2019</t>
  </si>
  <si>
    <t>27-04-2019</t>
  </si>
  <si>
    <t>Nand Kishore</t>
  </si>
  <si>
    <t>Sundaram Ravi</t>
  </si>
  <si>
    <t>28-04-2019</t>
  </si>
  <si>
    <t>29-04-2019</t>
  </si>
  <si>
    <t>30-04-2019</t>
  </si>
  <si>
    <t>S Gill</t>
  </si>
  <si>
    <t>S Hetmyer</t>
  </si>
  <si>
    <t>ACA-VDCA Stadium</t>
  </si>
  <si>
    <t>Chettithody Shamshuddin</t>
  </si>
  <si>
    <t>match_type</t>
  </si>
  <si>
    <t>toss_match_winner</t>
  </si>
  <si>
    <t>season_year</t>
  </si>
  <si>
    <t>Row Labels</t>
  </si>
  <si>
    <t>(blank)</t>
  </si>
  <si>
    <t>Grand Total</t>
  </si>
  <si>
    <t>Count of 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</si>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</sst>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14" fillId="0" borderId="0" xfId="0" applyFont="1"/>
    <xf numFmtId="0" fontId="14" fillId="33" borderId="0" xfId="0" applyFont="1" applyFill="1"/>
    <xf numFmtId="0" fontId="14" fillId="0" borderId="0" xfId="0" pivotButton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ubham Singh" refreshedDate="46078.204672106483" createdVersion="7" refreshedVersion="7" minRefreshableVersion="3" recordCount="756">
  <cacheSource type="worksheet">
    <worksheetSource ref="A1:R757" sheet="matches"/>
  </cacheSource>
  <cacheFields count="18">
    <cacheField name="id" numFmtId="0">
      <sharedItems containsSemiMixedTypes="0" containsString="0" containsNumber="1" containsInteger="1" minValue="1" maxValue="11415"/>
    </cacheField>
    <cacheField name="Season" numFmtId="0">
      <sharedItems count="12">
        <s v="IPL-2017"/>
        <s v="IPL-2008"/>
        <s v="IPL-2009"/>
        <s v="IPL-2010"/>
        <s v="IPL-2011"/>
        <s v="IPL-2012"/>
        <s v="IPL-2013"/>
        <s v="IPL-2014"/>
        <s v="IPL-2015"/>
        <s v="IPL-2016"/>
        <s v="IPL-2018"/>
        <s v="IPL-2019"/>
      </sharedItems>
    </cacheField>
    <cacheField name="city" numFmtId="0">
      <sharedItems containsBlank="1"/>
    </cacheField>
    <cacheField name="date" numFmtId="0">
      <sharedItems containsDate="1" containsMixedTypes="1" minDate="2008-01-05T00:00:00" maxDate="2019-12-06T00:00:00"/>
    </cacheField>
    <cacheField name="team1" numFmtId="0">
      <sharedItems/>
    </cacheField>
    <cacheField name="team2" numFmtId="0">
      <sharedItems/>
    </cacheField>
    <cacheField name="toss_winner" numFmtId="0">
      <sharedItems count="15">
        <s v="Royal Challengers Bangalore"/>
        <s v="Rising Pune Supergiant"/>
        <s v="Kolkata Knight Riders"/>
        <s v="Kings XI Punjab"/>
        <s v="Sunrisers Hyderabad"/>
        <s v="Mumbai Indians"/>
        <s v="Gujarat Lions"/>
        <s v="Delhi Daredevils"/>
        <s v="Chennai Super Kings"/>
        <s v="Rajasthan Royals"/>
        <s v="Deccan Chargers"/>
        <s v="Kochi Tuskers Kerala"/>
        <s v="Pune Warriors"/>
        <s v="Rising Pune Supergiants"/>
        <s v="Delhi Capitals"/>
      </sharedItems>
    </cacheField>
    <cacheField name="toss_decision" numFmtId="0">
      <sharedItems count="2">
        <s v="field"/>
        <s v="bat"/>
      </sharedItems>
    </cacheField>
    <cacheField name="result" numFmtId="0">
      <sharedItems/>
    </cacheField>
    <cacheField name="dl_applied" numFmtId="0">
      <sharedItems containsSemiMixedTypes="0" containsString="0" containsNumber="1" containsInteger="1" minValue="0" maxValue="1"/>
    </cacheField>
    <cacheField name="winner" numFmtId="0">
      <sharedItems containsBlank="1" count="16">
        <s v="Sunrisers Hyderabad"/>
        <s v="Rising Pune Supergiant"/>
        <s v="Kolkata Knight Riders"/>
        <s v="Kings XI Punjab"/>
        <s v="Royal Challengers Bangalore"/>
        <s v="Mumbai Indians"/>
        <s v="Delhi Daredevils"/>
        <s v="Gujarat Lions"/>
        <s v="Chennai Super Kings"/>
        <s v="Rajasthan Royals"/>
        <s v="Deccan Chargers"/>
        <s v="Pune Warriors"/>
        <s v="Kochi Tuskers Kerala"/>
        <m/>
        <s v="Rising Pune Supergiants"/>
        <s v="Delhi Capitals"/>
      </sharedItems>
    </cacheField>
    <cacheField name="win_by_runs" numFmtId="0">
      <sharedItems containsSemiMixedTypes="0" containsString="0" containsNumber="1" containsInteger="1" minValue="0" maxValue="146"/>
    </cacheField>
    <cacheField name="win_by_wickets" numFmtId="0">
      <sharedItems containsSemiMixedTypes="0" containsString="0" containsNumber="1" containsInteger="1" minValue="0" maxValue="10"/>
    </cacheField>
    <cacheField name="player_of_match" numFmtId="0">
      <sharedItems containsBlank="1"/>
    </cacheField>
    <cacheField name="venue" numFmtId="0">
      <sharedItems/>
    </cacheField>
    <cacheField name="umpire1" numFmtId="0">
      <sharedItems containsBlank="1"/>
    </cacheField>
    <cacheField name="umpire2" numFmtId="0">
      <sharedItems containsBlank="1"/>
    </cacheField>
    <cacheField name="umpire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6">
  <r>
    <n v="1"/>
    <x v="0"/>
    <s v="Hyderabad"/>
    <d v="2017-05-04T00:00:00"/>
    <s v="Sunrisers Hyderabad"/>
    <s v="Royal Challengers Bangalore"/>
    <x v="0"/>
    <x v="0"/>
    <s v="normal"/>
    <n v="0"/>
    <x v="0"/>
    <n v="35"/>
    <n v="0"/>
    <s v="Yuvraj Singh"/>
    <s v="Rajiv Gandhi International Stadium, Uppal"/>
    <s v="AY Dandekar"/>
    <s v="NJ Llong"/>
    <m/>
  </r>
  <r>
    <n v="2"/>
    <x v="0"/>
    <s v="Pune"/>
    <d v="2017-06-04T00:00:00"/>
    <s v="Mumbai Indians"/>
    <s v="Rising Pune Supergiant"/>
    <x v="1"/>
    <x v="0"/>
    <s v="normal"/>
    <n v="0"/>
    <x v="1"/>
    <n v="0"/>
    <n v="7"/>
    <s v="SPD Smith"/>
    <s v="Maharashtra Cricket Association Stadium"/>
    <s v="A Nand Kishore"/>
    <s v="S Ravi"/>
    <m/>
  </r>
  <r>
    <n v="3"/>
    <x v="0"/>
    <s v="Rajkot"/>
    <d v="2017-07-04T00:00:00"/>
    <s v="Gujarat Lions"/>
    <s v="Kolkata Knight Riders"/>
    <x v="2"/>
    <x v="0"/>
    <s v="normal"/>
    <n v="0"/>
    <x v="2"/>
    <n v="0"/>
    <n v="10"/>
    <s v="CA Lynn"/>
    <s v="Saurashtra Cricket Association Stadium"/>
    <s v="Nitin Menon"/>
    <s v="CK Nandan"/>
    <m/>
  </r>
  <r>
    <n v="4"/>
    <x v="0"/>
    <s v="Indore"/>
    <d v="2017-08-04T00:00:00"/>
    <s v="Rising Pune Supergiant"/>
    <s v="Kings XI Punjab"/>
    <x v="3"/>
    <x v="0"/>
    <s v="normal"/>
    <n v="0"/>
    <x v="3"/>
    <n v="0"/>
    <n v="6"/>
    <s v="GJ Maxwell"/>
    <s v="Holkar Cricket Stadium"/>
    <s v="AK Chaudhary"/>
    <s v="C Shamshuddin"/>
    <m/>
  </r>
  <r>
    <n v="5"/>
    <x v="0"/>
    <s v="Bangalore"/>
    <d v="2017-08-04T00:00:00"/>
    <s v="Royal Challengers Bangalore"/>
    <s v="Delhi Daredevils"/>
    <x v="0"/>
    <x v="1"/>
    <s v="normal"/>
    <n v="0"/>
    <x v="4"/>
    <n v="15"/>
    <n v="0"/>
    <s v="KM Jadhav"/>
    <s v="M Chinnaswamy Stadium"/>
    <m/>
    <m/>
    <m/>
  </r>
  <r>
    <n v="6"/>
    <x v="0"/>
    <s v="Hyderabad"/>
    <d v="2017-09-04T00:00:00"/>
    <s v="Gujarat Lions"/>
    <s v="Sunrisers Hyderabad"/>
    <x v="4"/>
    <x v="0"/>
    <s v="normal"/>
    <n v="0"/>
    <x v="0"/>
    <n v="0"/>
    <n v="9"/>
    <s v="Rashid Khan"/>
    <s v="Rajiv Gandhi International Stadium, Uppal"/>
    <s v="A Deshmukh"/>
    <s v="NJ Llong"/>
    <m/>
  </r>
  <r>
    <n v="7"/>
    <x v="0"/>
    <s v="Mumbai"/>
    <d v="2017-09-04T00:00:00"/>
    <s v="Kolkata Knight Riders"/>
    <s v="Mumbai Indians"/>
    <x v="5"/>
    <x v="0"/>
    <s v="normal"/>
    <n v="0"/>
    <x v="5"/>
    <n v="0"/>
    <n v="4"/>
    <s v="N Rana"/>
    <s v="Wankhede Stadium"/>
    <s v="Nitin Menon"/>
    <s v="CK Nandan"/>
    <m/>
  </r>
  <r>
    <n v="8"/>
    <x v="0"/>
    <s v="Indore"/>
    <d v="2017-10-04T00:00:00"/>
    <s v="Royal Challengers Bangalore"/>
    <s v="Kings XI Punjab"/>
    <x v="0"/>
    <x v="1"/>
    <s v="normal"/>
    <n v="0"/>
    <x v="3"/>
    <n v="0"/>
    <n v="8"/>
    <s v="AR Patel"/>
    <s v="Holkar Cricket Stadium"/>
    <s v="AK Chaudhary"/>
    <s v="C Shamshuddin"/>
    <m/>
  </r>
  <r>
    <n v="9"/>
    <x v="0"/>
    <s v="Pune"/>
    <d v="2017-11-04T00:00:00"/>
    <s v="Delhi Daredevils"/>
    <s v="Rising Pune Supergiant"/>
    <x v="1"/>
    <x v="0"/>
    <s v="normal"/>
    <n v="0"/>
    <x v="6"/>
    <n v="97"/>
    <n v="0"/>
    <s v="SV Samson"/>
    <s v="Maharashtra Cricket Association Stadium"/>
    <s v="AY Dandekar"/>
    <s v="S Ravi"/>
    <m/>
  </r>
  <r>
    <n v="10"/>
    <x v="0"/>
    <s v="Mumbai"/>
    <d v="2017-12-04T00:00:00"/>
    <s v="Sunrisers Hyderabad"/>
    <s v="Mumbai Indians"/>
    <x v="5"/>
    <x v="0"/>
    <s v="normal"/>
    <n v="0"/>
    <x v="5"/>
    <n v="0"/>
    <n v="4"/>
    <s v="JJ Bumrah"/>
    <s v="Wankhede Stadium"/>
    <s v="Nitin Menon"/>
    <s v="CK Nandan"/>
    <m/>
  </r>
  <r>
    <n v="11"/>
    <x v="0"/>
    <s v="Kolkata"/>
    <s v="13-04-2017"/>
    <s v="Kings XI Punjab"/>
    <s v="Kolkata Knight Riders"/>
    <x v="2"/>
    <x v="0"/>
    <s v="normal"/>
    <n v="0"/>
    <x v="2"/>
    <n v="0"/>
    <n v="8"/>
    <s v="SP Narine"/>
    <s v="Eden Gardens"/>
    <s v="A Deshmukh"/>
    <s v="NJ Llong"/>
    <m/>
  </r>
  <r>
    <n v="12"/>
    <x v="0"/>
    <s v="Bangalore"/>
    <s v="14-04-2017"/>
    <s v="Royal Challengers Bangalore"/>
    <s v="Mumbai Indians"/>
    <x v="5"/>
    <x v="0"/>
    <s v="normal"/>
    <n v="0"/>
    <x v="5"/>
    <n v="0"/>
    <n v="4"/>
    <s v="KA Pollard"/>
    <s v="M Chinnaswamy Stadium"/>
    <s v="KN Ananthapadmanabhan"/>
    <s v="AK Chaudhary"/>
    <m/>
  </r>
  <r>
    <n v="13"/>
    <x v="0"/>
    <s v="Rajkot"/>
    <s v="14-04-2017"/>
    <s v="Rising Pune Supergiant"/>
    <s v="Gujarat Lions"/>
    <x v="6"/>
    <x v="0"/>
    <s v="normal"/>
    <n v="0"/>
    <x v="7"/>
    <n v="0"/>
    <n v="7"/>
    <s v="AJ Tye"/>
    <s v="Saurashtra Cricket Association Stadium"/>
    <s v="A Nand Kishore"/>
    <s v="S Ravi"/>
    <m/>
  </r>
  <r>
    <n v="14"/>
    <x v="0"/>
    <s v="Kolkata"/>
    <s v="15-04-2017"/>
    <s v="Kolkata Knight Riders"/>
    <s v="Sunrisers Hyderabad"/>
    <x v="4"/>
    <x v="0"/>
    <s v="normal"/>
    <n v="0"/>
    <x v="2"/>
    <n v="17"/>
    <n v="0"/>
    <s v="RV Uthappa"/>
    <s v="Eden Gardens"/>
    <s v="AY Dandekar"/>
    <s v="NJ Llong"/>
    <m/>
  </r>
  <r>
    <n v="15"/>
    <x v="0"/>
    <s v="Delhi"/>
    <s v="15-04-2017"/>
    <s v="Delhi Daredevils"/>
    <s v="Kings XI Punjab"/>
    <x v="7"/>
    <x v="1"/>
    <s v="normal"/>
    <n v="0"/>
    <x v="6"/>
    <n v="51"/>
    <n v="0"/>
    <s v="CJ Anderson"/>
    <s v="Feroz Shah Kotla"/>
    <s v="YC Barde"/>
    <s v="Nitin Menon"/>
    <m/>
  </r>
  <r>
    <n v="16"/>
    <x v="0"/>
    <s v="Mumbai"/>
    <s v="16-04-2017"/>
    <s v="Gujarat Lions"/>
    <s v="Mumbai Indians"/>
    <x v="5"/>
    <x v="0"/>
    <s v="normal"/>
    <n v="0"/>
    <x v="5"/>
    <n v="0"/>
    <n v="6"/>
    <s v="N Rana"/>
    <s v="Wankhede Stadium"/>
    <s v="A Nand Kishore"/>
    <s v="S Ravi"/>
    <m/>
  </r>
  <r>
    <n v="17"/>
    <x v="0"/>
    <s v="Bangalore"/>
    <s v="16-04-2017"/>
    <s v="Rising Pune Supergiant"/>
    <s v="Royal Challengers Bangalore"/>
    <x v="0"/>
    <x v="0"/>
    <s v="normal"/>
    <n v="0"/>
    <x v="1"/>
    <n v="27"/>
    <n v="0"/>
    <s v="BA Stokes"/>
    <s v="M Chinnaswamy Stadium"/>
    <s v="KN Ananthapadmanabhan"/>
    <s v="C Shamshuddin"/>
    <m/>
  </r>
  <r>
    <n v="18"/>
    <x v="0"/>
    <s v="Delhi"/>
    <s v="17-04-2017"/>
    <s v="Delhi Daredevils"/>
    <s v="Kolkata Knight Riders"/>
    <x v="7"/>
    <x v="1"/>
    <s v="normal"/>
    <n v="0"/>
    <x v="2"/>
    <n v="0"/>
    <n v="4"/>
    <s v="NM Coulter-Nile"/>
    <s v="Feroz Shah Kotla"/>
    <s v="Nitin Menon"/>
    <s v="CK Nandan"/>
    <m/>
  </r>
  <r>
    <n v="19"/>
    <x v="0"/>
    <s v="Hyderabad"/>
    <s v="17-04-2017"/>
    <s v="Sunrisers Hyderabad"/>
    <s v="Kings XI Punjab"/>
    <x v="3"/>
    <x v="0"/>
    <s v="normal"/>
    <n v="0"/>
    <x v="0"/>
    <n v="5"/>
    <n v="0"/>
    <s v="B Kumar"/>
    <s v="Rajiv Gandhi International Stadium, Uppal"/>
    <s v="AY Dandekar"/>
    <s v="A Deshmukh"/>
    <m/>
  </r>
  <r>
    <n v="20"/>
    <x v="0"/>
    <s v="Rajkot"/>
    <s v="18-04-2017"/>
    <s v="Royal Challengers Bangalore"/>
    <s v="Gujarat Lions"/>
    <x v="6"/>
    <x v="0"/>
    <s v="normal"/>
    <n v="0"/>
    <x v="4"/>
    <n v="21"/>
    <n v="0"/>
    <s v="CH Gayle"/>
    <s v="Saurashtra Cricket Association Stadium"/>
    <s v="S Ravi"/>
    <s v="VK Sharma"/>
    <m/>
  </r>
  <r>
    <n v="21"/>
    <x v="0"/>
    <s v="Hyderabad"/>
    <s v="19-04-2017"/>
    <s v="Sunrisers Hyderabad"/>
    <s v="Delhi Daredevils"/>
    <x v="4"/>
    <x v="1"/>
    <s v="normal"/>
    <n v="0"/>
    <x v="0"/>
    <n v="15"/>
    <n v="0"/>
    <s v="KS Williamson"/>
    <s v="Rajiv Gandhi International Stadium, Uppal"/>
    <s v="CB Gaffaney"/>
    <s v="NJ Llong"/>
    <m/>
  </r>
  <r>
    <n v="22"/>
    <x v="0"/>
    <s v="Indore"/>
    <s v="20-04-2017"/>
    <s v="Kings XI Punjab"/>
    <s v="Mumbai Indians"/>
    <x v="5"/>
    <x v="0"/>
    <s v="normal"/>
    <n v="0"/>
    <x v="5"/>
    <n v="0"/>
    <n v="8"/>
    <s v="JC Buttler"/>
    <s v="Holkar Cricket Stadium"/>
    <s v="M Erasmus"/>
    <s v="C Shamshuddin"/>
    <m/>
  </r>
  <r>
    <n v="23"/>
    <x v="0"/>
    <s v="Kolkata"/>
    <s v="21-04-2017"/>
    <s v="Kolkata Knight Riders"/>
    <s v="Gujarat Lions"/>
    <x v="6"/>
    <x v="0"/>
    <s v="normal"/>
    <n v="0"/>
    <x v="7"/>
    <n v="0"/>
    <n v="4"/>
    <s v="SK Raina"/>
    <s v="Eden Gardens"/>
    <s v="CB Gaffaney"/>
    <s v="Nitin Menon"/>
    <m/>
  </r>
  <r>
    <n v="24"/>
    <x v="0"/>
    <s v="Mumbai"/>
    <s v="22-04-2017"/>
    <s v="Mumbai Indians"/>
    <s v="Delhi Daredevils"/>
    <x v="7"/>
    <x v="0"/>
    <s v="normal"/>
    <n v="0"/>
    <x v="5"/>
    <n v="14"/>
    <n v="0"/>
    <s v="MJ McClenaghan"/>
    <s v="Wankhede Stadium"/>
    <s v="A Nand Kishore"/>
    <s v="S Ravi"/>
    <m/>
  </r>
  <r>
    <n v="25"/>
    <x v="0"/>
    <s v="Pune"/>
    <s v="22-04-2017"/>
    <s v="Sunrisers Hyderabad"/>
    <s v="Rising Pune Supergiant"/>
    <x v="1"/>
    <x v="0"/>
    <s v="normal"/>
    <n v="0"/>
    <x v="1"/>
    <n v="0"/>
    <n v="6"/>
    <s v="MS Dhoni"/>
    <s v="Maharashtra Cricket Association Stadium"/>
    <s v="AY Dandekar"/>
    <s v="A Deshmukh"/>
    <m/>
  </r>
  <r>
    <n v="26"/>
    <x v="0"/>
    <s v="Rajkot"/>
    <s v="23-04-2017"/>
    <s v="Kings XI Punjab"/>
    <s v="Gujarat Lions"/>
    <x v="6"/>
    <x v="0"/>
    <s v="normal"/>
    <n v="0"/>
    <x v="3"/>
    <n v="26"/>
    <n v="0"/>
    <s v="HM Amla"/>
    <s v="Saurashtra Cricket Association Stadium"/>
    <s v="AK Chaudhary"/>
    <s v="M Erasmus"/>
    <m/>
  </r>
  <r>
    <n v="27"/>
    <x v="0"/>
    <s v="Kolkata"/>
    <s v="23-04-2017"/>
    <s v="Kolkata Knight Riders"/>
    <s v="Royal Challengers Bangalore"/>
    <x v="0"/>
    <x v="0"/>
    <s v="normal"/>
    <n v="0"/>
    <x v="2"/>
    <n v="82"/>
    <n v="0"/>
    <s v="NM Coulter-Nile"/>
    <s v="Eden Gardens"/>
    <s v="CB Gaffaney"/>
    <s v="CK Nandan"/>
    <m/>
  </r>
  <r>
    <n v="28"/>
    <x v="0"/>
    <s v="Mumbai"/>
    <s v="24-04-2017"/>
    <s v="Rising Pune Supergiant"/>
    <s v="Mumbai Indians"/>
    <x v="5"/>
    <x v="0"/>
    <s v="normal"/>
    <n v="0"/>
    <x v="1"/>
    <n v="3"/>
    <n v="0"/>
    <s v="BA Stokes"/>
    <s v="Wankhede Stadium"/>
    <s v="A Nand Kishore"/>
    <s v="S Ravi"/>
    <m/>
  </r>
  <r>
    <n v="29"/>
    <x v="0"/>
    <s v="Pune"/>
    <s v="26-04-2017"/>
    <s v="Rising Pune Supergiant"/>
    <s v="Kolkata Knight Riders"/>
    <x v="2"/>
    <x v="0"/>
    <s v="normal"/>
    <n v="0"/>
    <x v="2"/>
    <n v="0"/>
    <n v="7"/>
    <s v="RV Uthappa"/>
    <s v="Maharashtra Cricket Association Stadium"/>
    <s v="AY Dandekar"/>
    <s v="NJ Llong"/>
    <m/>
  </r>
  <r>
    <n v="30"/>
    <x v="0"/>
    <s v="Bangalore"/>
    <s v="27-04-2017"/>
    <s v="Royal Challengers Bangalore"/>
    <s v="Gujarat Lions"/>
    <x v="6"/>
    <x v="0"/>
    <s v="normal"/>
    <n v="0"/>
    <x v="7"/>
    <n v="0"/>
    <n v="7"/>
    <s v="AJ Tye"/>
    <s v="M Chinnaswamy Stadium"/>
    <s v="AK Chaudhary"/>
    <s v="C Shamshuddin"/>
    <m/>
  </r>
  <r>
    <n v="31"/>
    <x v="0"/>
    <s v="Kolkata"/>
    <s v="28-04-2017"/>
    <s v="Delhi Daredevils"/>
    <s v="Kolkata Knight Riders"/>
    <x v="2"/>
    <x v="0"/>
    <s v="normal"/>
    <n v="0"/>
    <x v="2"/>
    <n v="0"/>
    <n v="7"/>
    <s v="G Gambhir"/>
    <s v="Eden Gardens"/>
    <s v="NJ Llong"/>
    <s v="S Ravi"/>
    <m/>
  </r>
  <r>
    <n v="32"/>
    <x v="0"/>
    <s v="Chandigarh"/>
    <s v="28-04-2017"/>
    <s v="Sunrisers Hyderabad"/>
    <s v="Kings XI Punjab"/>
    <x v="3"/>
    <x v="0"/>
    <s v="normal"/>
    <n v="0"/>
    <x v="0"/>
    <n v="26"/>
    <n v="0"/>
    <s v="Rashid Khan"/>
    <s v="Punjab Cricket Association IS Bindra Stadium, Mohali"/>
    <s v="Nitin Menon"/>
    <s v="CK Nandan"/>
    <m/>
  </r>
  <r>
    <n v="33"/>
    <x v="0"/>
    <s v="Pune"/>
    <s v="29-04-2017"/>
    <s v="Rising Pune Supergiant"/>
    <s v="Royal Challengers Bangalore"/>
    <x v="0"/>
    <x v="0"/>
    <s v="normal"/>
    <n v="0"/>
    <x v="1"/>
    <n v="61"/>
    <n v="0"/>
    <s v="LH Ferguson"/>
    <s v="Maharashtra Cricket Association Stadium"/>
    <s v="KN Ananthapadmanabhan"/>
    <s v="M Erasmus"/>
    <m/>
  </r>
  <r>
    <n v="34"/>
    <x v="0"/>
    <s v="Rajkot"/>
    <s v="29-04-2017"/>
    <s v="Gujarat Lions"/>
    <s v="Mumbai Indians"/>
    <x v="6"/>
    <x v="1"/>
    <s v="tie"/>
    <n v="0"/>
    <x v="5"/>
    <n v="0"/>
    <n v="0"/>
    <s v="KH Pandya"/>
    <s v="Saurashtra Cricket Association Stadium"/>
    <s v="AK Chaudhary"/>
    <s v="CB Gaffaney"/>
    <m/>
  </r>
  <r>
    <n v="35"/>
    <x v="0"/>
    <s v="Chandigarh"/>
    <s v="30-04-2017"/>
    <s v="Delhi Daredevils"/>
    <s v="Kings XI Punjab"/>
    <x v="3"/>
    <x v="0"/>
    <s v="normal"/>
    <n v="0"/>
    <x v="3"/>
    <n v="0"/>
    <n v="10"/>
    <s v="Sandeep Sharma"/>
    <s v="Punjab Cricket Association IS Bindra Stadium, Mohali"/>
    <s v="YC Barde"/>
    <s v="CK Nandan"/>
    <m/>
  </r>
  <r>
    <n v="36"/>
    <x v="0"/>
    <s v="Hyderabad"/>
    <s v="30-04-2017"/>
    <s v="Sunrisers Hyderabad"/>
    <s v="Kolkata Knight Riders"/>
    <x v="2"/>
    <x v="0"/>
    <s v="normal"/>
    <n v="0"/>
    <x v="0"/>
    <n v="48"/>
    <n v="0"/>
    <s v="DA Warner"/>
    <s v="Rajiv Gandhi International Stadium, Uppal"/>
    <s v="AY Dandekar"/>
    <s v="S Ravi"/>
    <m/>
  </r>
  <r>
    <n v="37"/>
    <x v="0"/>
    <s v="Mumbai"/>
    <d v="2017-01-05T00:00:00"/>
    <s v="Royal Challengers Bangalore"/>
    <s v="Mumbai Indians"/>
    <x v="0"/>
    <x v="1"/>
    <s v="normal"/>
    <n v="0"/>
    <x v="5"/>
    <n v="0"/>
    <n v="5"/>
    <s v="RG Sharma"/>
    <s v="Wankhede Stadium"/>
    <s v="AK Chaudhary"/>
    <s v="CB Gaffaney"/>
    <m/>
  </r>
  <r>
    <n v="38"/>
    <x v="0"/>
    <s v="Pune"/>
    <d v="2017-01-05T00:00:00"/>
    <s v="Gujarat Lions"/>
    <s v="Rising Pune Supergiant"/>
    <x v="1"/>
    <x v="0"/>
    <s v="normal"/>
    <n v="0"/>
    <x v="1"/>
    <n v="0"/>
    <n v="5"/>
    <s v="BA Stokes"/>
    <s v="Maharashtra Cricket Association Stadium"/>
    <s v="M Erasmus"/>
    <s v="C Shamshuddin"/>
    <m/>
  </r>
  <r>
    <n v="39"/>
    <x v="0"/>
    <s v="Delhi"/>
    <d v="2017-02-05T00:00:00"/>
    <s v="Sunrisers Hyderabad"/>
    <s v="Delhi Daredevils"/>
    <x v="7"/>
    <x v="0"/>
    <s v="normal"/>
    <n v="0"/>
    <x v="6"/>
    <n v="0"/>
    <n v="6"/>
    <s v="Mohammed Shami"/>
    <s v="Feroz Shah Kotla"/>
    <s v="YC Barde"/>
    <s v="Nitin Menon"/>
    <m/>
  </r>
  <r>
    <n v="40"/>
    <x v="0"/>
    <s v="Kolkata"/>
    <d v="2017-03-05T00:00:00"/>
    <s v="Kolkata Knight Riders"/>
    <s v="Rising Pune Supergiant"/>
    <x v="1"/>
    <x v="0"/>
    <s v="normal"/>
    <n v="0"/>
    <x v="1"/>
    <n v="0"/>
    <n v="4"/>
    <s v="RA Tripathi"/>
    <s v="Eden Gardens"/>
    <s v="KN Ananthapadmanabhan"/>
    <s v="A Nand Kishore"/>
    <m/>
  </r>
  <r>
    <n v="41"/>
    <x v="0"/>
    <s v="Delhi"/>
    <d v="2017-04-05T00:00:00"/>
    <s v="Gujarat Lions"/>
    <s v="Delhi Daredevils"/>
    <x v="7"/>
    <x v="0"/>
    <s v="normal"/>
    <n v="0"/>
    <x v="6"/>
    <n v="0"/>
    <n v="7"/>
    <s v="RR Pant"/>
    <s v="Feroz Shah Kotla"/>
    <s v="M Erasmus"/>
    <s v="Nitin Menon"/>
    <m/>
  </r>
  <r>
    <n v="42"/>
    <x v="0"/>
    <s v="Bangalore"/>
    <d v="2017-05-05T00:00:00"/>
    <s v="Kings XI Punjab"/>
    <s v="Royal Challengers Bangalore"/>
    <x v="0"/>
    <x v="0"/>
    <s v="normal"/>
    <n v="0"/>
    <x v="3"/>
    <n v="19"/>
    <n v="0"/>
    <s v="Sandeep Sharma"/>
    <s v="M Chinnaswamy Stadium"/>
    <s v="CB Gaffaney"/>
    <s v="C Shamshuddin"/>
    <m/>
  </r>
  <r>
    <n v="43"/>
    <x v="0"/>
    <s v="Hyderabad"/>
    <d v="2017-06-05T00:00:00"/>
    <s v="Rising Pune Supergiant"/>
    <s v="Sunrisers Hyderabad"/>
    <x v="4"/>
    <x v="0"/>
    <s v="normal"/>
    <n v="0"/>
    <x v="1"/>
    <n v="12"/>
    <n v="0"/>
    <s v="JD Unadkat"/>
    <s v="Rajiv Gandhi International Stadium, Uppal"/>
    <s v="KN Ananthapadmanabhan"/>
    <s v="AK Chaudhary"/>
    <m/>
  </r>
  <r>
    <n v="44"/>
    <x v="0"/>
    <s v="Delhi"/>
    <d v="2017-06-05T00:00:00"/>
    <s v="Mumbai Indians"/>
    <s v="Delhi Daredevils"/>
    <x v="7"/>
    <x v="0"/>
    <s v="normal"/>
    <n v="0"/>
    <x v="5"/>
    <n v="146"/>
    <n v="0"/>
    <s v="LMP Simmons"/>
    <s v="Feroz Shah Kotla"/>
    <s v="Nitin Menon"/>
    <s v="CK Nandan"/>
    <m/>
  </r>
  <r>
    <n v="45"/>
    <x v="0"/>
    <s v="Bangalore"/>
    <d v="2017-07-05T00:00:00"/>
    <s v="Royal Challengers Bangalore"/>
    <s v="Kolkata Knight Riders"/>
    <x v="2"/>
    <x v="0"/>
    <s v="normal"/>
    <n v="0"/>
    <x v="2"/>
    <n v="0"/>
    <n v="6"/>
    <s v="SP Narine"/>
    <s v="M Chinnaswamy Stadium"/>
    <s v="AY Dandekar"/>
    <s v="C Shamshuddin"/>
    <m/>
  </r>
  <r>
    <n v="46"/>
    <x v="0"/>
    <s v="Chandigarh"/>
    <d v="2017-07-05T00:00:00"/>
    <s v="Kings XI Punjab"/>
    <s v="Gujarat Lions"/>
    <x v="6"/>
    <x v="0"/>
    <s v="normal"/>
    <n v="0"/>
    <x v="7"/>
    <n v="0"/>
    <n v="6"/>
    <s v="DR Smith"/>
    <s v="Punjab Cricket Association IS Bindra Stadium, Mohali"/>
    <s v="A Nand Kishore"/>
    <s v="VK Sharma"/>
    <m/>
  </r>
  <r>
    <n v="47"/>
    <x v="0"/>
    <s v="Hyderabad"/>
    <d v="2017-08-05T00:00:00"/>
    <s v="Mumbai Indians"/>
    <s v="Sunrisers Hyderabad"/>
    <x v="5"/>
    <x v="1"/>
    <s v="normal"/>
    <n v="0"/>
    <x v="0"/>
    <n v="0"/>
    <n v="7"/>
    <s v="S Dhawan"/>
    <s v="Rajiv Gandhi International Stadium, Uppal"/>
    <s v="KN Ananthapadmanabhan"/>
    <s v="M Erasmus"/>
    <m/>
  </r>
  <r>
    <n v="48"/>
    <x v="0"/>
    <s v="Chandigarh"/>
    <d v="2017-09-05T00:00:00"/>
    <s v="Kings XI Punjab"/>
    <s v="Kolkata Knight Riders"/>
    <x v="2"/>
    <x v="0"/>
    <s v="normal"/>
    <n v="0"/>
    <x v="3"/>
    <n v="14"/>
    <n v="0"/>
    <s v="MM Sharma"/>
    <s v="Punjab Cricket Association IS Bindra Stadium, Mohali"/>
    <s v="A Nand Kishore"/>
    <s v="S Ravi"/>
    <m/>
  </r>
  <r>
    <n v="49"/>
    <x v="0"/>
    <s v="Kanpur"/>
    <d v="2017-10-05T00:00:00"/>
    <s v="Gujarat Lions"/>
    <s v="Delhi Daredevils"/>
    <x v="7"/>
    <x v="0"/>
    <s v="normal"/>
    <n v="0"/>
    <x v="6"/>
    <n v="0"/>
    <n v="2"/>
    <s v="SS Iyer"/>
    <s v="Green Park"/>
    <s v="YC Barde"/>
    <s v="AK Chaudhary"/>
    <m/>
  </r>
  <r>
    <n v="50"/>
    <x v="0"/>
    <s v="Mumbai"/>
    <d v="2017-11-05T00:00:00"/>
    <s v="Kings XI Punjab"/>
    <s v="Mumbai Indians"/>
    <x v="5"/>
    <x v="0"/>
    <s v="normal"/>
    <n v="0"/>
    <x v="3"/>
    <n v="7"/>
    <n v="0"/>
    <s v="WP Saha"/>
    <s v="Wankhede Stadium"/>
    <s v="A Deshmukh"/>
    <s v="A Nand Kishore"/>
    <m/>
  </r>
  <r>
    <n v="51"/>
    <x v="0"/>
    <s v="Delhi"/>
    <d v="2017-12-05T00:00:00"/>
    <s v="Delhi Daredevils"/>
    <s v="Rising Pune Supergiant"/>
    <x v="7"/>
    <x v="1"/>
    <s v="normal"/>
    <n v="0"/>
    <x v="6"/>
    <n v="7"/>
    <n v="0"/>
    <s v="KK Nair"/>
    <s v="Feroz Shah Kotla"/>
    <s v="KN Ananthapadmanabhan"/>
    <s v="CK Nandan"/>
    <m/>
  </r>
  <r>
    <n v="52"/>
    <x v="0"/>
    <s v="Kanpur"/>
    <s v="13-05-2017"/>
    <s v="Gujarat Lions"/>
    <s v="Sunrisers Hyderabad"/>
    <x v="4"/>
    <x v="0"/>
    <s v="normal"/>
    <n v="0"/>
    <x v="0"/>
    <n v="0"/>
    <n v="8"/>
    <s v="Mohammed Siraj"/>
    <s v="Green Park"/>
    <s v="AK Chaudhary"/>
    <s v="Nitin Menon"/>
    <m/>
  </r>
  <r>
    <n v="53"/>
    <x v="0"/>
    <s v="Kolkata"/>
    <s v="13-05-2017"/>
    <s v="Mumbai Indians"/>
    <s v="Kolkata Knight Riders"/>
    <x v="2"/>
    <x v="0"/>
    <s v="normal"/>
    <n v="0"/>
    <x v="5"/>
    <n v="9"/>
    <n v="0"/>
    <s v="AT Rayudu"/>
    <s v="Eden Gardens"/>
    <s v="A Nand Kishore"/>
    <s v="S Ravi"/>
    <m/>
  </r>
  <r>
    <n v="54"/>
    <x v="0"/>
    <s v="Pune"/>
    <s v="14-05-2017"/>
    <s v="Kings XI Punjab"/>
    <s v="Rising Pune Supergiant"/>
    <x v="1"/>
    <x v="0"/>
    <s v="normal"/>
    <n v="0"/>
    <x v="1"/>
    <n v="0"/>
    <n v="9"/>
    <s v="JD Unadkat"/>
    <s v="Maharashtra Cricket Association Stadium"/>
    <s v="AY Dandekar"/>
    <s v="A Deshmukh"/>
    <m/>
  </r>
  <r>
    <n v="55"/>
    <x v="0"/>
    <s v="Delhi"/>
    <s v="14-05-2017"/>
    <s v="Royal Challengers Bangalore"/>
    <s v="Delhi Daredevils"/>
    <x v="0"/>
    <x v="1"/>
    <s v="normal"/>
    <n v="0"/>
    <x v="4"/>
    <n v="10"/>
    <n v="0"/>
    <s v="HV Patel"/>
    <s v="Feroz Shah Kotla"/>
    <s v="CK Nandan"/>
    <s v="C Shamshuddin"/>
    <m/>
  </r>
  <r>
    <n v="56"/>
    <x v="0"/>
    <s v="Mumbai"/>
    <s v="16-05-2017"/>
    <s v="Rising Pune Supergiant"/>
    <s v="Mumbai Indians"/>
    <x v="5"/>
    <x v="0"/>
    <s v="normal"/>
    <n v="0"/>
    <x v="1"/>
    <n v="20"/>
    <n v="0"/>
    <s v="Washington Sundar"/>
    <s v="Wankhede Stadium"/>
    <s v="S Ravi"/>
    <s v="C Shamshuddin"/>
    <m/>
  </r>
  <r>
    <n v="57"/>
    <x v="0"/>
    <s v="Bangalore"/>
    <s v="17-05-2017"/>
    <s v="Sunrisers Hyderabad"/>
    <s v="Kolkata Knight Riders"/>
    <x v="2"/>
    <x v="0"/>
    <s v="normal"/>
    <n v="1"/>
    <x v="2"/>
    <n v="0"/>
    <n v="7"/>
    <s v="NM Coulter-Nile"/>
    <s v="M Chinnaswamy Stadium"/>
    <s v="AK Chaudhary"/>
    <s v="Nitin Menon"/>
    <m/>
  </r>
  <r>
    <n v="58"/>
    <x v="0"/>
    <s v="Bangalore"/>
    <s v="19-05-2017"/>
    <s v="Kolkata Knight Riders"/>
    <s v="Mumbai Indians"/>
    <x v="5"/>
    <x v="0"/>
    <s v="normal"/>
    <n v="0"/>
    <x v="5"/>
    <n v="0"/>
    <n v="6"/>
    <s v="KV Sharma"/>
    <s v="M Chinnaswamy Stadium"/>
    <s v="NJ Llong"/>
    <s v="Nitin Menon"/>
    <m/>
  </r>
  <r>
    <n v="59"/>
    <x v="0"/>
    <s v="Hyderabad"/>
    <s v="21-05-2017"/>
    <s v="Mumbai Indians"/>
    <s v="Rising Pune Supergiant"/>
    <x v="5"/>
    <x v="1"/>
    <s v="normal"/>
    <n v="0"/>
    <x v="5"/>
    <n v="1"/>
    <n v="0"/>
    <s v="KH Pandya"/>
    <s v="Rajiv Gandhi International Stadium, Uppal"/>
    <s v="NJ Llong"/>
    <s v="S Ravi"/>
    <m/>
  </r>
  <r>
    <n v="60"/>
    <x v="1"/>
    <s v="Bangalore"/>
    <s v="18-04-2008"/>
    <s v="Kolkata Knight Riders"/>
    <s v="Royal Challengers Bangalore"/>
    <x v="0"/>
    <x v="0"/>
    <s v="normal"/>
    <n v="0"/>
    <x v="2"/>
    <n v="140"/>
    <n v="0"/>
    <s v="BB McCullum"/>
    <s v="M Chinnaswamy Stadium"/>
    <s v="Asad Rauf"/>
    <s v="RE Koertzen"/>
    <m/>
  </r>
  <r>
    <n v="61"/>
    <x v="1"/>
    <s v="Chandigarh"/>
    <s v="19-04-2008"/>
    <s v="Chennai Super Kings"/>
    <s v="Kings XI Punjab"/>
    <x v="8"/>
    <x v="1"/>
    <s v="normal"/>
    <n v="0"/>
    <x v="8"/>
    <n v="33"/>
    <n v="0"/>
    <s v="MEK Hussey"/>
    <s v="Punjab Cricket Association Stadium, Mohali"/>
    <s v="MR Benson"/>
    <s v="SL Shastri"/>
    <m/>
  </r>
  <r>
    <n v="62"/>
    <x v="1"/>
    <s v="Delhi"/>
    <s v="19-04-2008"/>
    <s v="Rajasthan Royals"/>
    <s v="Delhi Daredevils"/>
    <x v="9"/>
    <x v="1"/>
    <s v="normal"/>
    <n v="0"/>
    <x v="6"/>
    <n v="0"/>
    <n v="9"/>
    <s v="MF Maharoof"/>
    <s v="Feroz Shah Kotla"/>
    <s v="Aleem Dar"/>
    <s v="GA Pratapkumar"/>
    <m/>
  </r>
  <r>
    <n v="63"/>
    <x v="1"/>
    <s v="Mumbai"/>
    <s v="20-04-2008"/>
    <s v="Mumbai Indians"/>
    <s v="Royal Challengers Bangalore"/>
    <x v="5"/>
    <x v="1"/>
    <s v="normal"/>
    <n v="0"/>
    <x v="4"/>
    <n v="0"/>
    <n v="5"/>
    <s v="MV Boucher"/>
    <s v="Wankhede Stadium"/>
    <s v="SJ Davis"/>
    <s v="DJ Harper"/>
    <m/>
  </r>
  <r>
    <n v="64"/>
    <x v="1"/>
    <s v="Kolkata"/>
    <s v="20-04-2008"/>
    <s v="Deccan Chargers"/>
    <s v="Kolkata Knight Riders"/>
    <x v="10"/>
    <x v="1"/>
    <s v="normal"/>
    <n v="0"/>
    <x v="2"/>
    <n v="0"/>
    <n v="5"/>
    <s v="DJ Hussey"/>
    <s v="Eden Gardens"/>
    <s v="BF Bowden"/>
    <s v="K Hariharan"/>
    <m/>
  </r>
  <r>
    <n v="65"/>
    <x v="1"/>
    <s v="Jaipur"/>
    <s v="21-04-2008"/>
    <s v="Kings XI Punjab"/>
    <s v="Rajasthan Royals"/>
    <x v="3"/>
    <x v="1"/>
    <s v="normal"/>
    <n v="0"/>
    <x v="9"/>
    <n v="0"/>
    <n v="6"/>
    <s v="SR Watson"/>
    <s v="Sawai Mansingh Stadium"/>
    <s v="Aleem Dar"/>
    <s v="RB Tiffin"/>
    <m/>
  </r>
  <r>
    <n v="66"/>
    <x v="1"/>
    <s v="Hyderabad"/>
    <s v="22-04-2008"/>
    <s v="Deccan Chargers"/>
    <s v="Delhi Daredevils"/>
    <x v="10"/>
    <x v="1"/>
    <s v="normal"/>
    <n v="0"/>
    <x v="6"/>
    <n v="0"/>
    <n v="9"/>
    <s v="V Sehwag"/>
    <s v="Rajiv Gandhi International Stadium, Uppal"/>
    <s v="IL Howell"/>
    <s v="AM Saheba"/>
    <m/>
  </r>
  <r>
    <n v="67"/>
    <x v="1"/>
    <s v="Chennai"/>
    <s v="23-04-2008"/>
    <s v="Chennai Super Kings"/>
    <s v="Mumbai Indians"/>
    <x v="5"/>
    <x v="0"/>
    <s v="normal"/>
    <n v="0"/>
    <x v="8"/>
    <n v="6"/>
    <n v="0"/>
    <s v="ML Hayden"/>
    <s v="MA Chidambaram Stadium, Chepauk"/>
    <s v="DJ Harper"/>
    <s v="GA Pratapkumar"/>
    <m/>
  </r>
  <r>
    <n v="68"/>
    <x v="1"/>
    <s v="Hyderabad"/>
    <s v="24-04-2008"/>
    <s v="Deccan Chargers"/>
    <s v="Rajasthan Royals"/>
    <x v="9"/>
    <x v="0"/>
    <s v="normal"/>
    <n v="0"/>
    <x v="9"/>
    <n v="0"/>
    <n v="3"/>
    <s v="YK Pathan"/>
    <s v="Rajiv Gandhi International Stadium, Uppal"/>
    <s v="Asad Rauf"/>
    <s v="MR Benson"/>
    <m/>
  </r>
  <r>
    <n v="69"/>
    <x v="1"/>
    <s v="Chandigarh"/>
    <s v="25-04-2008"/>
    <s v="Kings XI Punjab"/>
    <s v="Mumbai Indians"/>
    <x v="5"/>
    <x v="0"/>
    <s v="normal"/>
    <n v="0"/>
    <x v="3"/>
    <n v="66"/>
    <n v="0"/>
    <s v="KC Sangakkara"/>
    <s v="Punjab Cricket Association Stadium, Mohali"/>
    <s v="Aleem Dar"/>
    <s v="AM Saheba"/>
    <m/>
  </r>
  <r>
    <n v="70"/>
    <x v="1"/>
    <s v="Bangalore"/>
    <s v="26-04-2008"/>
    <s v="Royal Challengers Bangalore"/>
    <s v="Rajasthan Royals"/>
    <x v="9"/>
    <x v="0"/>
    <s v="normal"/>
    <n v="0"/>
    <x v="9"/>
    <n v="0"/>
    <n v="7"/>
    <s v="SR Watson"/>
    <s v="M Chinnaswamy Stadium"/>
    <s v="MR Benson"/>
    <s v="IL Howell"/>
    <m/>
  </r>
  <r>
    <n v="71"/>
    <x v="1"/>
    <s v="Chennai"/>
    <s v="26-04-2008"/>
    <s v="Kolkata Knight Riders"/>
    <s v="Chennai Super Kings"/>
    <x v="2"/>
    <x v="1"/>
    <s v="normal"/>
    <n v="0"/>
    <x v="8"/>
    <n v="0"/>
    <n v="9"/>
    <s v="JDP Oram"/>
    <s v="MA Chidambaram Stadium, Chepauk"/>
    <s v="BF Bowden"/>
    <s v="AV Jayaprakash"/>
    <m/>
  </r>
  <r>
    <n v="72"/>
    <x v="1"/>
    <s v="Mumbai"/>
    <s v="27-04-2008"/>
    <s v="Mumbai Indians"/>
    <s v="Deccan Chargers"/>
    <x v="10"/>
    <x v="0"/>
    <s v="normal"/>
    <n v="0"/>
    <x v="10"/>
    <n v="0"/>
    <n v="10"/>
    <s v="AC Gilchrist"/>
    <s v="Dr DY Patil Sports Academy"/>
    <s v="Asad Rauf"/>
    <s v="SL Shastri"/>
    <m/>
  </r>
  <r>
    <n v="73"/>
    <x v="1"/>
    <s v="Chandigarh"/>
    <s v="27-04-2008"/>
    <s v="Delhi Daredevils"/>
    <s v="Kings XI Punjab"/>
    <x v="7"/>
    <x v="1"/>
    <s v="normal"/>
    <n v="0"/>
    <x v="3"/>
    <n v="0"/>
    <n v="4"/>
    <s v="SM Katich"/>
    <s v="Punjab Cricket Association Stadium, Mohali"/>
    <s v="RE Koertzen"/>
    <s v="I Shivram"/>
    <m/>
  </r>
  <r>
    <n v="74"/>
    <x v="1"/>
    <s v="Bangalore"/>
    <s v="28-04-2008"/>
    <s v="Chennai Super Kings"/>
    <s v="Royal Challengers Bangalore"/>
    <x v="8"/>
    <x v="1"/>
    <s v="normal"/>
    <n v="0"/>
    <x v="8"/>
    <n v="13"/>
    <n v="0"/>
    <s v="MS Dhoni"/>
    <s v="M Chinnaswamy Stadium"/>
    <s v="BR Doctrove"/>
    <s v="RB Tiffin"/>
    <m/>
  </r>
  <r>
    <n v="75"/>
    <x v="1"/>
    <s v="Kolkata"/>
    <s v="29-04-2008"/>
    <s v="Kolkata Knight Riders"/>
    <s v="Mumbai Indians"/>
    <x v="2"/>
    <x v="1"/>
    <s v="normal"/>
    <n v="0"/>
    <x v="5"/>
    <n v="0"/>
    <n v="7"/>
    <s v="ST Jayasuriya"/>
    <s v="Eden Gardens"/>
    <s v="BF Bowden"/>
    <s v="AV Jayaprakash"/>
    <m/>
  </r>
  <r>
    <n v="76"/>
    <x v="1"/>
    <s v="Delhi"/>
    <s v="30-04-2008"/>
    <s v="Delhi Daredevils"/>
    <s v="Royal Challengers Bangalore"/>
    <x v="0"/>
    <x v="0"/>
    <s v="normal"/>
    <n v="0"/>
    <x v="6"/>
    <n v="10"/>
    <n v="0"/>
    <s v="GD McGrath"/>
    <s v="Feroz Shah Kotla"/>
    <s v="Aleem Dar"/>
    <s v="I Shivram"/>
    <m/>
  </r>
  <r>
    <n v="77"/>
    <x v="1"/>
    <s v="Hyderabad"/>
    <d v="2008-01-05T00:00:00"/>
    <s v="Deccan Chargers"/>
    <s v="Kings XI Punjab"/>
    <x v="3"/>
    <x v="0"/>
    <s v="normal"/>
    <n v="0"/>
    <x v="3"/>
    <n v="0"/>
    <n v="7"/>
    <s v="SE Marsh"/>
    <s v="Rajiv Gandhi International Stadium, Uppal"/>
    <s v="BR Doctrove"/>
    <s v="RB Tiffin"/>
    <m/>
  </r>
  <r>
    <n v="78"/>
    <x v="1"/>
    <s v="Jaipur"/>
    <d v="2008-01-05T00:00:00"/>
    <s v="Rajasthan Royals"/>
    <s v="Kolkata Knight Riders"/>
    <x v="9"/>
    <x v="1"/>
    <s v="normal"/>
    <n v="0"/>
    <x v="9"/>
    <n v="45"/>
    <n v="0"/>
    <s v="SA Asnodkar"/>
    <s v="Sawai Mansingh Stadium"/>
    <s v="RE Koertzen"/>
    <s v="GA Pratapkumar"/>
    <m/>
  </r>
  <r>
    <n v="79"/>
    <x v="1"/>
    <s v="Chennai"/>
    <d v="2008-02-05T00:00:00"/>
    <s v="Chennai Super Kings"/>
    <s v="Delhi Daredevils"/>
    <x v="8"/>
    <x v="1"/>
    <s v="normal"/>
    <n v="0"/>
    <x v="6"/>
    <n v="0"/>
    <n v="8"/>
    <s v="V Sehwag"/>
    <s v="MA Chidambaram Stadium, Chepauk"/>
    <s v="BF Bowden"/>
    <s v="K Hariharan"/>
    <m/>
  </r>
  <r>
    <n v="80"/>
    <x v="1"/>
    <s v="Hyderabad"/>
    <s v="25-05-2008"/>
    <s v="Deccan Chargers"/>
    <s v="Royal Challengers Bangalore"/>
    <x v="10"/>
    <x v="1"/>
    <s v="normal"/>
    <n v="0"/>
    <x v="4"/>
    <n v="0"/>
    <n v="5"/>
    <s v="R Vinay Kumar"/>
    <s v="Rajiv Gandhi International Stadium, Uppal"/>
    <s v="Asad Rauf"/>
    <s v="RE Koertzen"/>
    <m/>
  </r>
  <r>
    <n v="81"/>
    <x v="1"/>
    <s v="Chandigarh"/>
    <d v="2008-03-05T00:00:00"/>
    <s v="Kings XI Punjab"/>
    <s v="Kolkata Knight Riders"/>
    <x v="3"/>
    <x v="1"/>
    <s v="normal"/>
    <n v="0"/>
    <x v="3"/>
    <n v="9"/>
    <n v="0"/>
    <s v="IK Pathan"/>
    <s v="Punjab Cricket Association Stadium, Mohali"/>
    <s v="DJ Harper"/>
    <s v="I Shivram"/>
    <m/>
  </r>
  <r>
    <n v="82"/>
    <x v="1"/>
    <s v="Mumbai"/>
    <d v="2008-04-05T00:00:00"/>
    <s v="Mumbai Indians"/>
    <s v="Delhi Daredevils"/>
    <x v="7"/>
    <x v="0"/>
    <s v="normal"/>
    <n v="0"/>
    <x v="5"/>
    <n v="29"/>
    <n v="0"/>
    <s v="SM Pollock"/>
    <s v="Dr DY Patil Sports Academy"/>
    <s v="IL Howell"/>
    <s v="RE Koertzen"/>
    <m/>
  </r>
  <r>
    <n v="83"/>
    <x v="1"/>
    <s v="Jaipur"/>
    <d v="2008-04-05T00:00:00"/>
    <s v="Chennai Super Kings"/>
    <s v="Rajasthan Royals"/>
    <x v="8"/>
    <x v="1"/>
    <s v="normal"/>
    <n v="0"/>
    <x v="9"/>
    <n v="0"/>
    <n v="8"/>
    <s v="Sohail Tanvir"/>
    <s v="Sawai Mansingh Stadium"/>
    <s v="Asad Rauf"/>
    <s v="AV Jayaprakash"/>
    <m/>
  </r>
  <r>
    <n v="84"/>
    <x v="1"/>
    <s v="Bangalore"/>
    <d v="2008-05-05T00:00:00"/>
    <s v="Royal Challengers Bangalore"/>
    <s v="Kings XI Punjab"/>
    <x v="3"/>
    <x v="0"/>
    <s v="normal"/>
    <n v="0"/>
    <x v="3"/>
    <n v="0"/>
    <n v="6"/>
    <s v="S Sreesanth"/>
    <s v="M Chinnaswamy Stadium"/>
    <s v="SJ Davis"/>
    <s v="BR Doctrove"/>
    <m/>
  </r>
  <r>
    <n v="85"/>
    <x v="1"/>
    <s v="Chennai"/>
    <d v="2008-06-05T00:00:00"/>
    <s v="Chennai Super Kings"/>
    <s v="Deccan Chargers"/>
    <x v="10"/>
    <x v="0"/>
    <s v="normal"/>
    <n v="0"/>
    <x v="10"/>
    <n v="0"/>
    <n v="7"/>
    <s v="AC Gilchrist"/>
    <s v="MA Chidambaram Stadium, Chepauk"/>
    <s v="MR Benson"/>
    <s v="RB Tiffin"/>
    <m/>
  </r>
  <r>
    <n v="86"/>
    <x v="1"/>
    <s v="Mumbai"/>
    <d v="2008-07-05T00:00:00"/>
    <s v="Rajasthan Royals"/>
    <s v="Mumbai Indians"/>
    <x v="5"/>
    <x v="0"/>
    <s v="normal"/>
    <n v="0"/>
    <x v="5"/>
    <n v="0"/>
    <n v="7"/>
    <s v="A Nehra"/>
    <s v="Dr DY Patil Sports Academy"/>
    <s v="DJ Harper"/>
    <s v="RE Koertzen"/>
    <m/>
  </r>
  <r>
    <n v="87"/>
    <x v="1"/>
    <s v="Delhi"/>
    <d v="2008-08-05T00:00:00"/>
    <s v="Delhi Daredevils"/>
    <s v="Chennai Super Kings"/>
    <x v="8"/>
    <x v="0"/>
    <s v="normal"/>
    <n v="0"/>
    <x v="8"/>
    <n v="0"/>
    <n v="4"/>
    <s v="MS Dhoni"/>
    <s v="Feroz Shah Kotla"/>
    <s v="Aleem Dar"/>
    <s v="RB Tiffin"/>
    <m/>
  </r>
  <r>
    <n v="88"/>
    <x v="1"/>
    <s v="Kolkata"/>
    <d v="2008-08-05T00:00:00"/>
    <s v="Kolkata Knight Riders"/>
    <s v="Royal Challengers Bangalore"/>
    <x v="2"/>
    <x v="1"/>
    <s v="normal"/>
    <n v="0"/>
    <x v="2"/>
    <n v="5"/>
    <n v="0"/>
    <s v="SC Ganguly"/>
    <s v="Eden Gardens"/>
    <s v="Asad Rauf"/>
    <s v="IL Howell"/>
    <m/>
  </r>
  <r>
    <n v="89"/>
    <x v="1"/>
    <s v="Jaipur"/>
    <d v="2008-09-05T00:00:00"/>
    <s v="Deccan Chargers"/>
    <s v="Rajasthan Royals"/>
    <x v="9"/>
    <x v="0"/>
    <s v="normal"/>
    <n v="0"/>
    <x v="9"/>
    <n v="0"/>
    <n v="8"/>
    <s v="YK Pathan"/>
    <s v="Sawai Mansingh Stadium"/>
    <s v="MR Benson"/>
    <s v="AM Saheba"/>
    <m/>
  </r>
  <r>
    <n v="90"/>
    <x v="1"/>
    <s v="Bangalore"/>
    <s v="28-05-2008"/>
    <s v="Royal Challengers Bangalore"/>
    <s v="Mumbai Indians"/>
    <x v="5"/>
    <x v="0"/>
    <s v="normal"/>
    <n v="0"/>
    <x v="5"/>
    <n v="0"/>
    <n v="9"/>
    <s v="CRD Fernando"/>
    <s v="M Chinnaswamy Stadium"/>
    <s v="BF Bowden"/>
    <s v="AV Jayaprakash"/>
    <m/>
  </r>
  <r>
    <n v="91"/>
    <x v="1"/>
    <s v="Chennai"/>
    <d v="2008-10-05T00:00:00"/>
    <s v="Chennai Super Kings"/>
    <s v="Kings XI Punjab"/>
    <x v="3"/>
    <x v="0"/>
    <s v="normal"/>
    <n v="0"/>
    <x v="8"/>
    <n v="18"/>
    <n v="0"/>
    <s v="L Balaji"/>
    <s v="MA Chidambaram Stadium, Chepauk"/>
    <s v="AV Jayaprakash"/>
    <s v="BG Jerling"/>
    <m/>
  </r>
  <r>
    <n v="92"/>
    <x v="1"/>
    <s v="Hyderabad"/>
    <d v="2008-11-05T00:00:00"/>
    <s v="Kolkata Knight Riders"/>
    <s v="Deccan Chargers"/>
    <x v="2"/>
    <x v="1"/>
    <s v="normal"/>
    <n v="0"/>
    <x v="2"/>
    <n v="23"/>
    <n v="0"/>
    <s v="SC Ganguly"/>
    <s v="Rajiv Gandhi International Stadium, Uppal"/>
    <s v="IL Howell"/>
    <s v="AM Saheba"/>
    <m/>
  </r>
  <r>
    <n v="93"/>
    <x v="1"/>
    <s v="Jaipur"/>
    <d v="2008-11-05T00:00:00"/>
    <s v="Delhi Daredevils"/>
    <s v="Rajasthan Royals"/>
    <x v="9"/>
    <x v="0"/>
    <s v="normal"/>
    <n v="0"/>
    <x v="9"/>
    <n v="0"/>
    <n v="3"/>
    <s v="SR Watson"/>
    <s v="Sawai Mansingh Stadium"/>
    <s v="SJ Davis"/>
    <s v="RE Koertzen"/>
    <m/>
  </r>
  <r>
    <n v="94"/>
    <x v="1"/>
    <s v="Chandigarh"/>
    <d v="2008-12-05T00:00:00"/>
    <s v="Royal Challengers Bangalore"/>
    <s v="Kings XI Punjab"/>
    <x v="0"/>
    <x v="1"/>
    <s v="normal"/>
    <n v="0"/>
    <x v="3"/>
    <n v="0"/>
    <n v="9"/>
    <s v="SE Marsh"/>
    <s v="Punjab Cricket Association Stadium, Mohali"/>
    <s v="BR Doctrove"/>
    <s v="I Shivram"/>
    <m/>
  </r>
  <r>
    <n v="95"/>
    <x v="1"/>
    <s v="Kolkata"/>
    <s v="13-05-2008"/>
    <s v="Kolkata Knight Riders"/>
    <s v="Delhi Daredevils"/>
    <x v="2"/>
    <x v="1"/>
    <s v="normal"/>
    <n v="0"/>
    <x v="2"/>
    <n v="23"/>
    <n v="0"/>
    <s v="Shoaib Akhtar"/>
    <s v="Eden Gardens"/>
    <s v="Asad Rauf"/>
    <s v="IL Howell"/>
    <m/>
  </r>
  <r>
    <n v="96"/>
    <x v="1"/>
    <s v="Mumbai"/>
    <s v="14-05-2008"/>
    <s v="Chennai Super Kings"/>
    <s v="Mumbai Indians"/>
    <x v="5"/>
    <x v="0"/>
    <s v="normal"/>
    <n v="0"/>
    <x v="5"/>
    <n v="0"/>
    <n v="9"/>
    <s v="ST Jayasuriya"/>
    <s v="Wankhede Stadium"/>
    <s v="BR Doctrove"/>
    <s v="AM Saheba"/>
    <m/>
  </r>
  <r>
    <n v="97"/>
    <x v="1"/>
    <s v="Chandigarh"/>
    <s v="28-05-2008"/>
    <s v="Kings XI Punjab"/>
    <s v="Rajasthan Royals"/>
    <x v="9"/>
    <x v="0"/>
    <s v="normal"/>
    <n v="0"/>
    <x v="3"/>
    <n v="41"/>
    <n v="0"/>
    <s v="SE Marsh"/>
    <s v="Punjab Cricket Association Stadium, Mohali"/>
    <s v="SJ Davis"/>
    <s v="K Hariharan"/>
    <m/>
  </r>
  <r>
    <n v="98"/>
    <x v="1"/>
    <s v="Delhi"/>
    <s v="15-05-2008"/>
    <s v="Delhi Daredevils"/>
    <s v="Deccan Chargers"/>
    <x v="10"/>
    <x v="0"/>
    <s v="normal"/>
    <n v="0"/>
    <x v="6"/>
    <n v="12"/>
    <n v="0"/>
    <s v="A Mishra"/>
    <s v="Feroz Shah Kotla"/>
    <s v="BG Jerling"/>
    <s v="GA Pratapkumar"/>
    <m/>
  </r>
  <r>
    <n v="99"/>
    <x v="1"/>
    <s v="Mumbai"/>
    <s v="16-05-2008"/>
    <s v="Kolkata Knight Riders"/>
    <s v="Mumbai Indians"/>
    <x v="5"/>
    <x v="0"/>
    <s v="normal"/>
    <n v="0"/>
    <x v="5"/>
    <n v="0"/>
    <n v="8"/>
    <s v="SM Pollock"/>
    <s v="Wankhede Stadium"/>
    <s v="BR Doctrove"/>
    <s v="DJ Harper"/>
    <m/>
  </r>
  <r>
    <n v="100"/>
    <x v="1"/>
    <s v="Delhi"/>
    <s v="17-05-2008"/>
    <s v="Delhi Daredevils"/>
    <s v="Kings XI Punjab"/>
    <x v="7"/>
    <x v="1"/>
    <s v="normal"/>
    <n v="1"/>
    <x v="3"/>
    <n v="6"/>
    <n v="0"/>
    <s v="DPMD Jayawardene"/>
    <s v="Feroz Shah Kotla"/>
    <s v="AV Jayaprakash"/>
    <s v="RE Koertzen"/>
    <m/>
  </r>
  <r>
    <n v="101"/>
    <x v="1"/>
    <s v="Jaipur"/>
    <s v="17-05-2008"/>
    <s v="Rajasthan Royals"/>
    <s v="Royal Challengers Bangalore"/>
    <x v="0"/>
    <x v="0"/>
    <s v="normal"/>
    <n v="0"/>
    <x v="9"/>
    <n v="65"/>
    <n v="0"/>
    <s v="GC Smith"/>
    <s v="Sawai Mansingh Stadium"/>
    <s v="BF Bowden"/>
    <s v="SL Shastri"/>
    <m/>
  </r>
  <r>
    <n v="102"/>
    <x v="1"/>
    <s v="Hyderabad"/>
    <s v="18-05-2008"/>
    <s v="Mumbai Indians"/>
    <s v="Deccan Chargers"/>
    <x v="10"/>
    <x v="0"/>
    <s v="normal"/>
    <n v="0"/>
    <x v="5"/>
    <n v="25"/>
    <n v="0"/>
    <s v="DJ Bravo"/>
    <s v="Rajiv Gandhi International Stadium, Uppal"/>
    <s v="BR Doctrove"/>
    <s v="DJ Harper"/>
    <m/>
  </r>
  <r>
    <n v="103"/>
    <x v="1"/>
    <s v="Kolkata"/>
    <s v="18-05-2008"/>
    <s v="Kolkata Knight Riders"/>
    <s v="Chennai Super Kings"/>
    <x v="2"/>
    <x v="1"/>
    <s v="normal"/>
    <n v="1"/>
    <x v="8"/>
    <n v="3"/>
    <n v="0"/>
    <s v="M Ntini"/>
    <s v="Eden Gardens"/>
    <s v="Asad Rauf"/>
    <s v="K Hariharan"/>
    <m/>
  </r>
  <r>
    <n v="104"/>
    <x v="1"/>
    <s v="Bangalore"/>
    <s v="19-05-2008"/>
    <s v="Royal Challengers Bangalore"/>
    <s v="Delhi Daredevils"/>
    <x v="7"/>
    <x v="0"/>
    <s v="normal"/>
    <n v="0"/>
    <x v="6"/>
    <n v="0"/>
    <n v="5"/>
    <s v="SP Goswami"/>
    <s v="M Chinnaswamy Stadium"/>
    <s v="SJ Davis"/>
    <s v="GA Pratapkumar"/>
    <m/>
  </r>
  <r>
    <n v="105"/>
    <x v="1"/>
    <s v="Kolkata"/>
    <s v="20-05-2008"/>
    <s v="Kolkata Knight Riders"/>
    <s v="Rajasthan Royals"/>
    <x v="9"/>
    <x v="0"/>
    <s v="normal"/>
    <n v="0"/>
    <x v="9"/>
    <n v="0"/>
    <n v="6"/>
    <s v="YK Pathan"/>
    <s v="Eden Gardens"/>
    <s v="BG Jerling"/>
    <s v="RE Koertzen"/>
    <m/>
  </r>
  <r>
    <n v="106"/>
    <x v="1"/>
    <s v="Mumbai"/>
    <s v="21-05-2008"/>
    <s v="Kings XI Punjab"/>
    <s v="Mumbai Indians"/>
    <x v="5"/>
    <x v="0"/>
    <s v="normal"/>
    <n v="0"/>
    <x v="3"/>
    <n v="1"/>
    <n v="0"/>
    <s v="SE Marsh"/>
    <s v="Wankhede Stadium"/>
    <s v="BF Bowden"/>
    <s v="GA Pratapkumar"/>
    <m/>
  </r>
  <r>
    <n v="107"/>
    <x v="1"/>
    <s v="Chennai"/>
    <s v="21-05-2008"/>
    <s v="Royal Challengers Bangalore"/>
    <s v="Chennai Super Kings"/>
    <x v="0"/>
    <x v="1"/>
    <s v="normal"/>
    <n v="0"/>
    <x v="4"/>
    <n v="14"/>
    <n v="0"/>
    <s v="A Kumble"/>
    <s v="MA Chidambaram Stadium, Chepauk"/>
    <s v="DJ Harper"/>
    <s v="I Shivram"/>
    <m/>
  </r>
  <r>
    <n v="108"/>
    <x v="1"/>
    <s v="Chandigarh"/>
    <s v="23-05-2008"/>
    <s v="Deccan Chargers"/>
    <s v="Kings XI Punjab"/>
    <x v="3"/>
    <x v="0"/>
    <s v="normal"/>
    <n v="0"/>
    <x v="3"/>
    <n v="0"/>
    <n v="6"/>
    <s v="SE Marsh"/>
    <s v="Punjab Cricket Association Stadium, Mohali"/>
    <s v="Asad Rauf"/>
    <s v="SJ Davis"/>
    <m/>
  </r>
  <r>
    <n v="109"/>
    <x v="1"/>
    <s v="Delhi"/>
    <s v="24-05-2008"/>
    <s v="Mumbai Indians"/>
    <s v="Delhi Daredevils"/>
    <x v="7"/>
    <x v="0"/>
    <s v="normal"/>
    <n v="0"/>
    <x v="6"/>
    <n v="0"/>
    <n v="5"/>
    <s v="KD Karthik"/>
    <s v="Feroz Shah Kotla"/>
    <s v="BF Bowden"/>
    <s v="K Hariharan"/>
    <m/>
  </r>
  <r>
    <n v="110"/>
    <x v="1"/>
    <s v="Chennai"/>
    <s v="24-05-2008"/>
    <s v="Rajasthan Royals"/>
    <s v="Chennai Super Kings"/>
    <x v="9"/>
    <x v="1"/>
    <s v="normal"/>
    <n v="0"/>
    <x v="9"/>
    <n v="10"/>
    <n v="0"/>
    <s v="JA Morkel"/>
    <s v="MA Chidambaram Stadium, Chepauk"/>
    <s v="DJ Harper"/>
    <s v="SL Shastri"/>
    <m/>
  </r>
  <r>
    <n v="111"/>
    <x v="1"/>
    <s v="Bangalore"/>
    <d v="2008-03-05T00:00:00"/>
    <s v="Royal Challengers Bangalore"/>
    <s v="Deccan Chargers"/>
    <x v="10"/>
    <x v="0"/>
    <s v="normal"/>
    <n v="0"/>
    <x v="4"/>
    <n v="3"/>
    <n v="0"/>
    <s v="P Kumar"/>
    <s v="M Chinnaswamy Stadium"/>
    <s v="BR Doctrove"/>
    <s v="SL Shastri"/>
    <m/>
  </r>
  <r>
    <n v="112"/>
    <x v="1"/>
    <s v="Kolkata"/>
    <s v="25-05-2008"/>
    <s v="Kings XI Punjab"/>
    <s v="Kolkata Knight Riders"/>
    <x v="3"/>
    <x v="1"/>
    <s v="normal"/>
    <n v="0"/>
    <x v="2"/>
    <n v="0"/>
    <n v="3"/>
    <s v="Umar Gul"/>
    <s v="Eden Gardens"/>
    <s v="SJ Davis"/>
    <s v="I Shivram"/>
    <m/>
  </r>
  <r>
    <n v="113"/>
    <x v="1"/>
    <s v="Jaipur"/>
    <s v="26-05-2008"/>
    <s v="Mumbai Indians"/>
    <s v="Rajasthan Royals"/>
    <x v="9"/>
    <x v="0"/>
    <s v="normal"/>
    <n v="0"/>
    <x v="9"/>
    <n v="0"/>
    <n v="5"/>
    <s v="Sohail Tanvir"/>
    <s v="Sawai Mansingh Stadium"/>
    <s v="BF Bowden"/>
    <s v="K Hariharan"/>
    <m/>
  </r>
  <r>
    <n v="114"/>
    <x v="1"/>
    <s v="Hyderabad"/>
    <s v="27-05-2008"/>
    <s v="Deccan Chargers"/>
    <s v="Chennai Super Kings"/>
    <x v="10"/>
    <x v="1"/>
    <s v="normal"/>
    <n v="0"/>
    <x v="8"/>
    <n v="0"/>
    <n v="7"/>
    <s v="SK Raina"/>
    <s v="Rajiv Gandhi International Stadium, Uppal"/>
    <s v="BG Jerling"/>
    <s v="AM Saheba"/>
    <m/>
  </r>
  <r>
    <n v="115"/>
    <x v="1"/>
    <s v="Mumbai"/>
    <s v="30-05-2008"/>
    <s v="Rajasthan Royals"/>
    <s v="Delhi Daredevils"/>
    <x v="7"/>
    <x v="0"/>
    <s v="normal"/>
    <n v="0"/>
    <x v="9"/>
    <n v="105"/>
    <n v="0"/>
    <s v="SR Watson"/>
    <s v="Wankhede Stadium"/>
    <s v="BF Bowden"/>
    <s v="RE Koertzen"/>
    <m/>
  </r>
  <r>
    <n v="116"/>
    <x v="1"/>
    <s v="Mumbai"/>
    <s v="31-05-2008"/>
    <s v="Kings XI Punjab"/>
    <s v="Chennai Super Kings"/>
    <x v="3"/>
    <x v="1"/>
    <s v="normal"/>
    <n v="0"/>
    <x v="8"/>
    <n v="0"/>
    <n v="9"/>
    <s v="M Ntini"/>
    <s v="Wankhede Stadium"/>
    <s v="Asad Rauf"/>
    <s v="DJ Harper"/>
    <m/>
  </r>
  <r>
    <n v="117"/>
    <x v="1"/>
    <s v="Mumbai"/>
    <d v="2008-01-06T00:00:00"/>
    <s v="Chennai Super Kings"/>
    <s v="Rajasthan Royals"/>
    <x v="9"/>
    <x v="0"/>
    <s v="normal"/>
    <n v="0"/>
    <x v="9"/>
    <n v="0"/>
    <n v="3"/>
    <s v="YK Pathan"/>
    <s v="Dr DY Patil Sports Academy"/>
    <s v="BF Bowden"/>
    <s v="RE Koertzen"/>
    <m/>
  </r>
  <r>
    <n v="118"/>
    <x v="2"/>
    <s v="Cape Town"/>
    <s v="18-04-2009"/>
    <s v="Mumbai Indians"/>
    <s v="Chennai Super Kings"/>
    <x v="8"/>
    <x v="0"/>
    <s v="normal"/>
    <n v="0"/>
    <x v="5"/>
    <n v="19"/>
    <n v="0"/>
    <s v="SR Tendulkar"/>
    <s v="Newlands"/>
    <s v="BR Doctrove"/>
    <s v="K Hariharan"/>
    <m/>
  </r>
  <r>
    <n v="119"/>
    <x v="2"/>
    <s v="Cape Town"/>
    <s v="18-04-2009"/>
    <s v="Royal Challengers Bangalore"/>
    <s v="Rajasthan Royals"/>
    <x v="0"/>
    <x v="1"/>
    <s v="normal"/>
    <n v="0"/>
    <x v="4"/>
    <n v="75"/>
    <n v="0"/>
    <s v="R Dravid"/>
    <s v="Newlands"/>
    <s v="BR Doctrove"/>
    <s v="RB Tiffin"/>
    <m/>
  </r>
  <r>
    <n v="120"/>
    <x v="2"/>
    <s v="Cape Town"/>
    <s v="19-04-2009"/>
    <s v="Kings XI Punjab"/>
    <s v="Delhi Daredevils"/>
    <x v="7"/>
    <x v="0"/>
    <s v="normal"/>
    <n v="1"/>
    <x v="6"/>
    <n v="0"/>
    <n v="10"/>
    <s v="DL Vettori"/>
    <s v="Newlands"/>
    <s v="MR Benson"/>
    <s v="SD Ranade"/>
    <m/>
  </r>
  <r>
    <n v="121"/>
    <x v="2"/>
    <s v="Cape Town"/>
    <s v="19-04-2009"/>
    <s v="Kolkata Knight Riders"/>
    <s v="Deccan Chargers"/>
    <x v="2"/>
    <x v="1"/>
    <s v="normal"/>
    <n v="0"/>
    <x v="10"/>
    <n v="0"/>
    <n v="8"/>
    <s v="RP Singh"/>
    <s v="Newlands"/>
    <s v="MR Benson"/>
    <s v="BR Doctrove"/>
    <m/>
  </r>
  <r>
    <n v="122"/>
    <x v="2"/>
    <s v="Port Elizabeth"/>
    <s v="20-04-2009"/>
    <s v="Chennai Super Kings"/>
    <s v="Royal Challengers Bangalore"/>
    <x v="8"/>
    <x v="1"/>
    <s v="normal"/>
    <n v="0"/>
    <x v="8"/>
    <n v="92"/>
    <n v="0"/>
    <s v="M Muralitharan"/>
    <s v="St George's Park"/>
    <s v="BG Jerling"/>
    <s v="SJA Taufel"/>
    <m/>
  </r>
  <r>
    <n v="123"/>
    <x v="2"/>
    <s v="Durban"/>
    <s v="21-04-2009"/>
    <s v="Kings XI Punjab"/>
    <s v="Kolkata Knight Riders"/>
    <x v="2"/>
    <x v="0"/>
    <s v="normal"/>
    <n v="1"/>
    <x v="2"/>
    <n v="11"/>
    <n v="0"/>
    <s v="CH Gayle"/>
    <s v="Kingsmead"/>
    <s v="DJ Harper"/>
    <s v="SD Ranade"/>
    <m/>
  </r>
  <r>
    <n v="124"/>
    <x v="2"/>
    <s v="Cape Town"/>
    <s v="22-04-2009"/>
    <s v="Deccan Chargers"/>
    <s v="Royal Challengers Bangalore"/>
    <x v="10"/>
    <x v="1"/>
    <s v="normal"/>
    <n v="0"/>
    <x v="10"/>
    <n v="24"/>
    <n v="0"/>
    <s v="AC Gilchrist"/>
    <s v="Newlands"/>
    <s v="M Erasmus"/>
    <s v="AM Saheba"/>
    <m/>
  </r>
  <r>
    <n v="125"/>
    <x v="2"/>
    <s v="Durban"/>
    <s v="23-04-2009"/>
    <s v="Delhi Daredevils"/>
    <s v="Chennai Super Kings"/>
    <x v="7"/>
    <x v="1"/>
    <s v="normal"/>
    <n v="0"/>
    <x v="6"/>
    <n v="9"/>
    <n v="0"/>
    <s v="AB de Villiers"/>
    <s v="Kingsmead"/>
    <s v="BR Doctrove"/>
    <s v="SJA Taufel"/>
    <m/>
  </r>
  <r>
    <n v="126"/>
    <x v="2"/>
    <s v="Cape Town"/>
    <s v="23-04-2009"/>
    <s v="Rajasthan Royals"/>
    <s v="Kolkata Knight Riders"/>
    <x v="2"/>
    <x v="0"/>
    <s v="tie"/>
    <n v="0"/>
    <x v="9"/>
    <n v="0"/>
    <n v="0"/>
    <s v="YK Pathan"/>
    <s v="Newlands"/>
    <s v="MR Benson"/>
    <s v="M Erasmus"/>
    <m/>
  </r>
  <r>
    <n v="127"/>
    <x v="2"/>
    <s v="Durban"/>
    <s v="24-04-2009"/>
    <s v="Royal Challengers Bangalore"/>
    <s v="Kings XI Punjab"/>
    <x v="0"/>
    <x v="1"/>
    <s v="normal"/>
    <n v="0"/>
    <x v="3"/>
    <n v="0"/>
    <n v="7"/>
    <s v="RS Bopara"/>
    <s v="Kingsmead"/>
    <s v="BR Doctrove"/>
    <s v="TH Wijewardene"/>
    <m/>
  </r>
  <r>
    <n v="128"/>
    <x v="2"/>
    <s v="Durban"/>
    <s v="25-04-2009"/>
    <s v="Deccan Chargers"/>
    <s v="Mumbai Indians"/>
    <x v="10"/>
    <x v="1"/>
    <s v="normal"/>
    <n v="0"/>
    <x v="10"/>
    <n v="12"/>
    <n v="0"/>
    <s v="PP Ojha"/>
    <s v="Kingsmead"/>
    <s v="HDPK Dharmasena"/>
    <s v="SJA Taufel"/>
    <m/>
  </r>
  <r>
    <n v="129"/>
    <x v="2"/>
    <s v="Port Elizabeth"/>
    <s v="26-04-2009"/>
    <s v="Royal Challengers Bangalore"/>
    <s v="Delhi Daredevils"/>
    <x v="0"/>
    <x v="1"/>
    <s v="normal"/>
    <n v="0"/>
    <x v="6"/>
    <n v="0"/>
    <n v="6"/>
    <s v="TM Dilshan"/>
    <s v="St George's Park"/>
    <s v="S Asnani"/>
    <s v="BG Jerling"/>
    <m/>
  </r>
  <r>
    <n v="130"/>
    <x v="2"/>
    <s v="Cape Town"/>
    <s v="26-04-2009"/>
    <s v="Kings XI Punjab"/>
    <s v="Rajasthan Royals"/>
    <x v="3"/>
    <x v="1"/>
    <s v="normal"/>
    <n v="0"/>
    <x v="3"/>
    <n v="27"/>
    <n v="0"/>
    <s v="KC Sangakkara"/>
    <s v="Newlands"/>
    <s v="M Erasmus"/>
    <s v="K Hariharan"/>
    <m/>
  </r>
  <r>
    <n v="131"/>
    <x v="2"/>
    <s v="Durban"/>
    <s v="27-04-2009"/>
    <s v="Chennai Super Kings"/>
    <s v="Deccan Chargers"/>
    <x v="10"/>
    <x v="0"/>
    <s v="normal"/>
    <n v="0"/>
    <x v="10"/>
    <n v="0"/>
    <n v="6"/>
    <s v="HH Gibbs"/>
    <s v="Kingsmead"/>
    <s v="IL Howell"/>
    <s v="TH Wijewardene"/>
    <m/>
  </r>
  <r>
    <n v="132"/>
    <x v="2"/>
    <s v="Port Elizabeth"/>
    <s v="27-04-2009"/>
    <s v="Mumbai Indians"/>
    <s v="Kolkata Knight Riders"/>
    <x v="5"/>
    <x v="1"/>
    <s v="normal"/>
    <n v="0"/>
    <x v="5"/>
    <n v="92"/>
    <n v="0"/>
    <s v="SR Tendulkar"/>
    <s v="St George's Park"/>
    <s v="BG Jerling"/>
    <s v="RB Tiffin"/>
    <m/>
  </r>
  <r>
    <n v="133"/>
    <x v="2"/>
    <s v="Centurion"/>
    <s v="28-04-2009"/>
    <s v="Delhi Daredevils"/>
    <s v="Rajasthan Royals"/>
    <x v="7"/>
    <x v="1"/>
    <s v="normal"/>
    <n v="0"/>
    <x v="9"/>
    <n v="0"/>
    <n v="5"/>
    <s v="YK Pathan"/>
    <s v="SuperSport Park"/>
    <s v="GAV Baxter"/>
    <s v="RE Koertzen"/>
    <m/>
  </r>
  <r>
    <n v="134"/>
    <x v="2"/>
    <s v="Durban"/>
    <s v="29-04-2009"/>
    <s v="Kolkata Knight Riders"/>
    <s v="Royal Challengers Bangalore"/>
    <x v="2"/>
    <x v="1"/>
    <s v="normal"/>
    <n v="0"/>
    <x v="4"/>
    <n v="0"/>
    <n v="5"/>
    <s v="MV Boucher"/>
    <s v="Kingsmead"/>
    <s v="MR Benson"/>
    <s v="TH Wijewardene"/>
    <m/>
  </r>
  <r>
    <n v="135"/>
    <x v="2"/>
    <s v="Durban"/>
    <s v="29-04-2009"/>
    <s v="Kings XI Punjab"/>
    <s v="Mumbai Indians"/>
    <x v="3"/>
    <x v="1"/>
    <s v="normal"/>
    <n v="0"/>
    <x v="3"/>
    <n v="3"/>
    <n v="0"/>
    <s v="KC Sangakkara"/>
    <s v="Kingsmead"/>
    <s v="MR Benson"/>
    <s v="SL Shastri"/>
    <m/>
  </r>
  <r>
    <n v="136"/>
    <x v="2"/>
    <s v="Centurion"/>
    <s v="30-04-2009"/>
    <s v="Deccan Chargers"/>
    <s v="Delhi Daredevils"/>
    <x v="7"/>
    <x v="0"/>
    <s v="normal"/>
    <n v="0"/>
    <x v="6"/>
    <n v="0"/>
    <n v="6"/>
    <s v="DP Nannes"/>
    <s v="SuperSport Park"/>
    <s v="GAV Baxter"/>
    <s v="AM Saheba"/>
    <m/>
  </r>
  <r>
    <n v="137"/>
    <x v="2"/>
    <s v="Centurion"/>
    <s v="30-04-2009"/>
    <s v="Chennai Super Kings"/>
    <s v="Rajasthan Royals"/>
    <x v="9"/>
    <x v="0"/>
    <s v="normal"/>
    <n v="0"/>
    <x v="8"/>
    <n v="38"/>
    <n v="0"/>
    <s v="SK Raina"/>
    <s v="SuperSport Park"/>
    <s v="GAV Baxter"/>
    <s v="RE Koertzen"/>
    <m/>
  </r>
  <r>
    <n v="138"/>
    <x v="2"/>
    <s v="East London"/>
    <d v="2009-01-05T00:00:00"/>
    <s v="Mumbai Indians"/>
    <s v="Kolkata Knight Riders"/>
    <x v="5"/>
    <x v="1"/>
    <s v="normal"/>
    <n v="0"/>
    <x v="5"/>
    <n v="9"/>
    <n v="0"/>
    <s v="JP Duminy"/>
    <s v="Buffalo Park"/>
    <s v="M Erasmus"/>
    <s v="SK Tarapore"/>
    <m/>
  </r>
  <r>
    <n v="139"/>
    <x v="2"/>
    <s v="Durban"/>
    <d v="2009-01-05T00:00:00"/>
    <s v="Royal Challengers Bangalore"/>
    <s v="Kings XI Punjab"/>
    <x v="0"/>
    <x v="1"/>
    <s v="normal"/>
    <n v="0"/>
    <x v="4"/>
    <n v="8"/>
    <n v="0"/>
    <s v="Yuvraj Singh"/>
    <s v="Kingsmead"/>
    <s v="HDPK Dharmasena"/>
    <s v="S Ravi"/>
    <m/>
  </r>
  <r>
    <n v="140"/>
    <x v="2"/>
    <s v="Port Elizabeth"/>
    <d v="2009-02-05T00:00:00"/>
    <s v="Deccan Chargers"/>
    <s v="Rajasthan Royals"/>
    <x v="10"/>
    <x v="1"/>
    <s v="normal"/>
    <n v="0"/>
    <x v="9"/>
    <n v="0"/>
    <n v="3"/>
    <s v="YK Pathan"/>
    <s v="St George's Park"/>
    <s v="S Asnani"/>
    <s v="BG Jerling"/>
    <m/>
  </r>
  <r>
    <n v="141"/>
    <x v="2"/>
    <s v="Johannesburg"/>
    <d v="2009-02-05T00:00:00"/>
    <s v="Chennai Super Kings"/>
    <s v="Delhi Daredevils"/>
    <x v="7"/>
    <x v="0"/>
    <s v="normal"/>
    <n v="0"/>
    <x v="8"/>
    <n v="18"/>
    <n v="0"/>
    <s v="SB Jakati"/>
    <s v="New Wanderers Stadium"/>
    <s v="DJ Harper"/>
    <s v="RE Koertzen"/>
    <m/>
  </r>
  <r>
    <n v="142"/>
    <x v="2"/>
    <s v="Port Elizabeth"/>
    <d v="2009-03-05T00:00:00"/>
    <s v="Kolkata Knight Riders"/>
    <s v="Kings XI Punjab"/>
    <x v="2"/>
    <x v="1"/>
    <s v="normal"/>
    <n v="0"/>
    <x v="3"/>
    <n v="0"/>
    <n v="6"/>
    <s v="DPMD Jayawardene"/>
    <s v="St George's Park"/>
    <s v="S Asnani"/>
    <s v="MR Benson"/>
    <m/>
  </r>
  <r>
    <n v="143"/>
    <x v="2"/>
    <s v="Johannesburg"/>
    <d v="2009-03-05T00:00:00"/>
    <s v="Mumbai Indians"/>
    <s v="Royal Challengers Bangalore"/>
    <x v="5"/>
    <x v="1"/>
    <s v="normal"/>
    <n v="0"/>
    <x v="4"/>
    <n v="0"/>
    <n v="9"/>
    <s v="JH Kallis"/>
    <s v="New Wanderers Stadium"/>
    <s v="RE Koertzen"/>
    <s v="TH Wijewardene"/>
    <m/>
  </r>
  <r>
    <n v="144"/>
    <x v="2"/>
    <s v="East London"/>
    <d v="2009-04-05T00:00:00"/>
    <s v="Chennai Super Kings"/>
    <s v="Deccan Chargers"/>
    <x v="8"/>
    <x v="1"/>
    <s v="normal"/>
    <n v="0"/>
    <x v="8"/>
    <n v="78"/>
    <n v="0"/>
    <s v="MS Dhoni"/>
    <s v="Buffalo Park"/>
    <s v="BR Doctrove"/>
    <s v="M Erasmus"/>
    <m/>
  </r>
  <r>
    <n v="145"/>
    <x v="2"/>
    <s v="Durban"/>
    <d v="2009-05-05T00:00:00"/>
    <s v="Rajasthan Royals"/>
    <s v="Kings XI Punjab"/>
    <x v="3"/>
    <x v="0"/>
    <s v="normal"/>
    <n v="0"/>
    <x v="9"/>
    <n v="78"/>
    <n v="0"/>
    <s v="GC Smith"/>
    <s v="Kingsmead"/>
    <s v="SS Hazare"/>
    <s v="IL Howell"/>
    <m/>
  </r>
  <r>
    <n v="146"/>
    <x v="2"/>
    <s v="Durban"/>
    <d v="2009-05-05T00:00:00"/>
    <s v="Kolkata Knight Riders"/>
    <s v="Delhi Daredevils"/>
    <x v="2"/>
    <x v="1"/>
    <s v="normal"/>
    <n v="0"/>
    <x v="6"/>
    <n v="0"/>
    <n v="9"/>
    <s v="G Gambhir"/>
    <s v="Kingsmead"/>
    <s v="GAV Baxter"/>
    <s v="IL Howell"/>
    <m/>
  </r>
  <r>
    <n v="147"/>
    <x v="2"/>
    <s v="Centurion"/>
    <d v="2009-06-05T00:00:00"/>
    <s v="Deccan Chargers"/>
    <s v="Mumbai Indians"/>
    <x v="10"/>
    <x v="1"/>
    <s v="normal"/>
    <n v="0"/>
    <x v="10"/>
    <n v="19"/>
    <n v="0"/>
    <s v="RG Sharma"/>
    <s v="SuperSport Park"/>
    <s v="MR Benson"/>
    <s v="HDPK Dharmasena"/>
    <m/>
  </r>
  <r>
    <n v="148"/>
    <x v="2"/>
    <s v="Centurion"/>
    <d v="2009-07-05T00:00:00"/>
    <s v="Royal Challengers Bangalore"/>
    <s v="Rajasthan Royals"/>
    <x v="9"/>
    <x v="0"/>
    <s v="normal"/>
    <n v="0"/>
    <x v="9"/>
    <n v="0"/>
    <n v="7"/>
    <s v="A Singh"/>
    <s v="SuperSport Park"/>
    <s v="K Hariharan"/>
    <s v="DJ Harper"/>
    <m/>
  </r>
  <r>
    <n v="149"/>
    <x v="2"/>
    <s v="Centurion"/>
    <d v="2009-07-05T00:00:00"/>
    <s v="Chennai Super Kings"/>
    <s v="Kings XI Punjab"/>
    <x v="8"/>
    <x v="1"/>
    <s v="normal"/>
    <n v="1"/>
    <x v="8"/>
    <n v="12"/>
    <n v="0"/>
    <s v="ML Hayden"/>
    <s v="SuperSport Park"/>
    <s v="DJ Harper"/>
    <s v="TH Wijewardene"/>
    <m/>
  </r>
  <r>
    <n v="150"/>
    <x v="2"/>
    <s v="East London"/>
    <d v="2009-08-05T00:00:00"/>
    <s v="Mumbai Indians"/>
    <s v="Delhi Daredevils"/>
    <x v="5"/>
    <x v="1"/>
    <s v="normal"/>
    <n v="0"/>
    <x v="6"/>
    <n v="0"/>
    <n v="7"/>
    <s v="A Nehra"/>
    <s v="Buffalo Park"/>
    <s v="M Erasmus"/>
    <s v="SK Tarapore"/>
    <m/>
  </r>
  <r>
    <n v="151"/>
    <x v="2"/>
    <s v="Kimberley"/>
    <d v="2009-09-05T00:00:00"/>
    <s v="Deccan Chargers"/>
    <s v="Kings XI Punjab"/>
    <x v="3"/>
    <x v="0"/>
    <s v="normal"/>
    <n v="0"/>
    <x v="3"/>
    <n v="0"/>
    <n v="3"/>
    <s v="DPMD Jayawardene"/>
    <s v="De Beers Diamond Oval"/>
    <s v="GAV Baxter"/>
    <s v="AM Saheba"/>
    <m/>
  </r>
  <r>
    <n v="152"/>
    <x v="2"/>
    <s v="Kimberley"/>
    <d v="2009-09-05T00:00:00"/>
    <s v="Rajasthan Royals"/>
    <s v="Chennai Super Kings"/>
    <x v="9"/>
    <x v="1"/>
    <s v="normal"/>
    <n v="0"/>
    <x v="8"/>
    <n v="0"/>
    <n v="7"/>
    <s v="S Badrinath"/>
    <s v="De Beers Diamond Oval"/>
    <s v="GAV Baxter"/>
    <s v="HDPK Dharmasena"/>
    <m/>
  </r>
  <r>
    <n v="153"/>
    <x v="2"/>
    <s v="Port Elizabeth"/>
    <d v="2009-10-05T00:00:00"/>
    <s v="Mumbai Indians"/>
    <s v="Royal Challengers Bangalore"/>
    <x v="5"/>
    <x v="1"/>
    <s v="normal"/>
    <n v="0"/>
    <x v="5"/>
    <n v="16"/>
    <n v="0"/>
    <s v="JP Duminy"/>
    <s v="St George's Park"/>
    <s v="BR Doctrove"/>
    <s v="BG Jerling"/>
    <m/>
  </r>
  <r>
    <n v="154"/>
    <x v="2"/>
    <s v="Johannesburg"/>
    <d v="2009-10-05T00:00:00"/>
    <s v="Kolkata Knight Riders"/>
    <s v="Delhi Daredevils"/>
    <x v="7"/>
    <x v="0"/>
    <s v="normal"/>
    <n v="0"/>
    <x v="6"/>
    <n v="0"/>
    <n v="7"/>
    <s v="A Mishra"/>
    <s v="New Wanderers Stadium"/>
    <s v="SL Shastri"/>
    <s v="RB Tiffin"/>
    <m/>
  </r>
  <r>
    <n v="155"/>
    <x v="2"/>
    <s v="Kimberley"/>
    <d v="2009-11-05T00:00:00"/>
    <s v="Deccan Chargers"/>
    <s v="Rajasthan Royals"/>
    <x v="10"/>
    <x v="1"/>
    <s v="normal"/>
    <n v="0"/>
    <x v="10"/>
    <n v="53"/>
    <n v="0"/>
    <s v="DR Smith"/>
    <s v="De Beers Diamond Oval"/>
    <s v="GAV Baxter"/>
    <s v="HDPK Dharmasena"/>
    <m/>
  </r>
  <r>
    <n v="156"/>
    <x v="2"/>
    <s v="Centurion"/>
    <d v="2009-12-05T00:00:00"/>
    <s v="Kolkata Knight Riders"/>
    <s v="Royal Challengers Bangalore"/>
    <x v="0"/>
    <x v="0"/>
    <s v="normal"/>
    <n v="0"/>
    <x v="4"/>
    <n v="0"/>
    <n v="6"/>
    <s v="LRPL Taylor"/>
    <s v="SuperSport Park"/>
    <s v="M Erasmus"/>
    <s v="SS Hazare"/>
    <m/>
  </r>
  <r>
    <n v="157"/>
    <x v="2"/>
    <s v="Centurion"/>
    <d v="2009-12-05T00:00:00"/>
    <s v="Kings XI Punjab"/>
    <s v="Mumbai Indians"/>
    <x v="3"/>
    <x v="1"/>
    <s v="normal"/>
    <n v="0"/>
    <x v="5"/>
    <n v="0"/>
    <n v="8"/>
    <s v="Harbhajan Singh"/>
    <s v="SuperSport Park"/>
    <s v="SS Hazare"/>
    <s v="RE Koertzen"/>
    <m/>
  </r>
  <r>
    <n v="158"/>
    <x v="2"/>
    <s v="Durban"/>
    <s v="13-05-2009"/>
    <s v="Delhi Daredevils"/>
    <s v="Deccan Chargers"/>
    <x v="10"/>
    <x v="0"/>
    <s v="normal"/>
    <n v="0"/>
    <x v="6"/>
    <n v="12"/>
    <n v="0"/>
    <s v="R Bhatia"/>
    <s v="Kingsmead"/>
    <s v="DJ Harper"/>
    <s v="SL Shastri"/>
    <m/>
  </r>
  <r>
    <n v="159"/>
    <x v="2"/>
    <s v="Durban"/>
    <s v="14-05-2009"/>
    <s v="Chennai Super Kings"/>
    <s v="Royal Challengers Bangalore"/>
    <x v="8"/>
    <x v="1"/>
    <s v="normal"/>
    <n v="0"/>
    <x v="4"/>
    <n v="0"/>
    <n v="2"/>
    <s v="LRPL Taylor"/>
    <s v="Kingsmead"/>
    <s v="BR Doctrove"/>
    <s v="DJ Harper"/>
    <m/>
  </r>
  <r>
    <n v="160"/>
    <x v="2"/>
    <s v="Durban"/>
    <s v="14-05-2009"/>
    <s v="Rajasthan Royals"/>
    <s v="Mumbai Indians"/>
    <x v="9"/>
    <x v="1"/>
    <s v="normal"/>
    <n v="0"/>
    <x v="9"/>
    <n v="2"/>
    <n v="0"/>
    <s v="SK Warne"/>
    <s v="Kingsmead"/>
    <s v="BR Doctrove"/>
    <s v="DJ Harper"/>
    <m/>
  </r>
  <r>
    <n v="161"/>
    <x v="2"/>
    <s v="Bloemfontein"/>
    <s v="15-05-2009"/>
    <s v="Delhi Daredevils"/>
    <s v="Kings XI Punjab"/>
    <x v="3"/>
    <x v="0"/>
    <s v="normal"/>
    <n v="0"/>
    <x v="3"/>
    <n v="0"/>
    <n v="6"/>
    <s v="B Lee"/>
    <s v="OUTsurance Oval"/>
    <s v="HDPK Dharmasena"/>
    <s v="IL Howell"/>
    <m/>
  </r>
  <r>
    <n v="162"/>
    <x v="2"/>
    <s v="Port Elizabeth"/>
    <s v="16-05-2009"/>
    <s v="Mumbai Indians"/>
    <s v="Chennai Super Kings"/>
    <x v="5"/>
    <x v="1"/>
    <s v="normal"/>
    <n v="0"/>
    <x v="8"/>
    <n v="0"/>
    <n v="7"/>
    <s v="ML Hayden"/>
    <s v="St George's Park"/>
    <s v="SK Tarapore"/>
    <s v="SJA Taufel"/>
    <m/>
  </r>
  <r>
    <n v="163"/>
    <x v="2"/>
    <s v="Johannesburg"/>
    <s v="16-05-2009"/>
    <s v="Kolkata Knight Riders"/>
    <s v="Deccan Chargers"/>
    <x v="10"/>
    <x v="0"/>
    <s v="normal"/>
    <n v="0"/>
    <x v="10"/>
    <n v="0"/>
    <n v="6"/>
    <s v="RG Sharma"/>
    <s v="New Wanderers Stadium"/>
    <s v="RE Koertzen"/>
    <s v="S Ravi"/>
    <m/>
  </r>
  <r>
    <n v="164"/>
    <x v="2"/>
    <s v="Johannesburg"/>
    <s v="17-05-2009"/>
    <s v="Kings XI Punjab"/>
    <s v="Deccan Chargers"/>
    <x v="10"/>
    <x v="0"/>
    <s v="normal"/>
    <n v="0"/>
    <x v="3"/>
    <n v="1"/>
    <n v="0"/>
    <s v="Yuvraj Singh"/>
    <s v="New Wanderers Stadium"/>
    <s v="S Ravi"/>
    <s v="RB Tiffin"/>
    <m/>
  </r>
  <r>
    <n v="165"/>
    <x v="2"/>
    <s v="Bloemfontein"/>
    <s v="17-05-2009"/>
    <s v="Delhi Daredevils"/>
    <s v="Rajasthan Royals"/>
    <x v="7"/>
    <x v="1"/>
    <s v="normal"/>
    <n v="0"/>
    <x v="6"/>
    <n v="14"/>
    <n v="0"/>
    <s v="AB de Villiers"/>
    <s v="OUTsurance Oval"/>
    <s v="SS Hazare"/>
    <s v="IL Howell"/>
    <m/>
  </r>
  <r>
    <n v="166"/>
    <x v="2"/>
    <s v="Centurion"/>
    <s v="18-05-2009"/>
    <s v="Chennai Super Kings"/>
    <s v="Kolkata Knight Riders"/>
    <x v="8"/>
    <x v="1"/>
    <s v="normal"/>
    <n v="0"/>
    <x v="2"/>
    <n v="0"/>
    <n v="7"/>
    <s v="BJ Hodge"/>
    <s v="SuperSport Park"/>
    <s v="SJA Taufel"/>
    <s v="RB Tiffin"/>
    <m/>
  </r>
  <r>
    <n v="167"/>
    <x v="2"/>
    <s v="Johannesburg"/>
    <s v="19-05-2009"/>
    <s v="Delhi Daredevils"/>
    <s v="Royal Challengers Bangalore"/>
    <x v="7"/>
    <x v="1"/>
    <s v="normal"/>
    <n v="0"/>
    <x v="4"/>
    <n v="0"/>
    <n v="7"/>
    <s v="JH Kallis"/>
    <s v="New Wanderers Stadium"/>
    <s v="IL Howell"/>
    <s v="RB Tiffin"/>
    <m/>
  </r>
  <r>
    <n v="168"/>
    <x v="2"/>
    <s v="Durban"/>
    <s v="20-05-2009"/>
    <s v="Rajasthan Royals"/>
    <s v="Kolkata Knight Riders"/>
    <x v="2"/>
    <x v="0"/>
    <s v="normal"/>
    <n v="0"/>
    <x v="2"/>
    <n v="0"/>
    <n v="4"/>
    <s v="LR Shukla"/>
    <s v="Kingsmead"/>
    <s v="BG Jerling"/>
    <s v="SJA Taufel"/>
    <m/>
  </r>
  <r>
    <n v="169"/>
    <x v="2"/>
    <s v="Durban"/>
    <s v="20-05-2009"/>
    <s v="Chennai Super Kings"/>
    <s v="Kings XI Punjab"/>
    <x v="8"/>
    <x v="1"/>
    <s v="normal"/>
    <n v="0"/>
    <x v="8"/>
    <n v="24"/>
    <n v="0"/>
    <s v="M Muralitharan"/>
    <s v="Kingsmead"/>
    <s v="BG Jerling"/>
    <s v="SJA Taufel"/>
    <m/>
  </r>
  <r>
    <n v="170"/>
    <x v="2"/>
    <s v="Centurion"/>
    <s v="21-05-2009"/>
    <s v="Mumbai Indians"/>
    <s v="Delhi Daredevils"/>
    <x v="7"/>
    <x v="0"/>
    <s v="normal"/>
    <n v="0"/>
    <x v="6"/>
    <n v="0"/>
    <n v="4"/>
    <s v="V Sehwag"/>
    <s v="SuperSport Park"/>
    <s v="IL Howell"/>
    <s v="S Ravi"/>
    <m/>
  </r>
  <r>
    <n v="171"/>
    <x v="2"/>
    <s v="Centurion"/>
    <s v="21-05-2009"/>
    <s v="Royal Challengers Bangalore"/>
    <s v="Deccan Chargers"/>
    <x v="0"/>
    <x v="1"/>
    <s v="normal"/>
    <n v="0"/>
    <x v="4"/>
    <n v="12"/>
    <n v="0"/>
    <s v="MK Pandey"/>
    <s v="SuperSport Park"/>
    <s v="IL Howell"/>
    <s v="S Ravi"/>
    <m/>
  </r>
  <r>
    <n v="172"/>
    <x v="2"/>
    <s v="Centurion"/>
    <s v="22-05-2009"/>
    <s v="Delhi Daredevils"/>
    <s v="Deccan Chargers"/>
    <x v="10"/>
    <x v="0"/>
    <s v="normal"/>
    <n v="0"/>
    <x v="10"/>
    <n v="0"/>
    <n v="6"/>
    <s v="AC Gilchrist"/>
    <s v="SuperSport Park"/>
    <s v="BR Doctrove"/>
    <s v="DJ Harper"/>
    <m/>
  </r>
  <r>
    <n v="173"/>
    <x v="2"/>
    <s v="Johannesburg"/>
    <s v="23-05-2009"/>
    <s v="Chennai Super Kings"/>
    <s v="Royal Challengers Bangalore"/>
    <x v="0"/>
    <x v="0"/>
    <s v="normal"/>
    <n v="0"/>
    <x v="4"/>
    <n v="0"/>
    <n v="6"/>
    <s v="MK Pandey"/>
    <s v="New Wanderers Stadium"/>
    <s v="RE Koertzen"/>
    <s v="SJA Taufel"/>
    <m/>
  </r>
  <r>
    <n v="174"/>
    <x v="2"/>
    <s v="Johannesburg"/>
    <s v="24-05-2009"/>
    <s v="Deccan Chargers"/>
    <s v="Royal Challengers Bangalore"/>
    <x v="0"/>
    <x v="0"/>
    <s v="normal"/>
    <n v="0"/>
    <x v="10"/>
    <n v="6"/>
    <n v="0"/>
    <s v="A Kumble"/>
    <s v="New Wanderers Stadium"/>
    <s v="RE Koertzen"/>
    <s v="SJA Taufel"/>
    <m/>
  </r>
  <r>
    <n v="175"/>
    <x v="3"/>
    <s v="Mumbai"/>
    <d v="2010-12-03T00:00:00"/>
    <s v="Kolkata Knight Riders"/>
    <s v="Deccan Chargers"/>
    <x v="10"/>
    <x v="0"/>
    <s v="normal"/>
    <n v="0"/>
    <x v="2"/>
    <n v="11"/>
    <n v="0"/>
    <s v="AD Mathews"/>
    <s v="Dr DY Patil Sports Academy"/>
    <s v="RE Koertzen"/>
    <s v="RB Tiffin"/>
    <m/>
  </r>
  <r>
    <n v="176"/>
    <x v="3"/>
    <s v="Mumbai"/>
    <s v="13-03-2010"/>
    <s v="Mumbai Indians"/>
    <s v="Rajasthan Royals"/>
    <x v="5"/>
    <x v="1"/>
    <s v="normal"/>
    <n v="0"/>
    <x v="5"/>
    <n v="4"/>
    <n v="0"/>
    <s v="YK Pathan"/>
    <s v="Brabourne Stadium"/>
    <s v="RE Koertzen"/>
    <s v="RB Tiffin"/>
    <m/>
  </r>
  <r>
    <n v="177"/>
    <x v="3"/>
    <s v="Chandigarh"/>
    <s v="13-03-2010"/>
    <s v="Kings XI Punjab"/>
    <s v="Delhi Daredevils"/>
    <x v="7"/>
    <x v="0"/>
    <s v="normal"/>
    <n v="0"/>
    <x v="6"/>
    <n v="0"/>
    <n v="5"/>
    <s v="G Gambhir"/>
    <s v="Punjab Cricket Association Stadium, Mohali"/>
    <s v="BR Doctrove"/>
    <s v="S Ravi"/>
    <m/>
  </r>
  <r>
    <n v="178"/>
    <x v="3"/>
    <s v="Kolkata"/>
    <s v="14-03-2010"/>
    <s v="Royal Challengers Bangalore"/>
    <s v="Kolkata Knight Riders"/>
    <x v="2"/>
    <x v="0"/>
    <s v="normal"/>
    <n v="0"/>
    <x v="2"/>
    <n v="0"/>
    <n v="7"/>
    <s v="MK Tiwary"/>
    <s v="Eden Gardens"/>
    <s v="HDPK Dharmasena"/>
    <s v="AM Saheba"/>
    <m/>
  </r>
  <r>
    <n v="179"/>
    <x v="3"/>
    <s v="Chennai"/>
    <s v="14-03-2010"/>
    <s v="Deccan Chargers"/>
    <s v="Chennai Super Kings"/>
    <x v="10"/>
    <x v="1"/>
    <s v="normal"/>
    <n v="0"/>
    <x v="10"/>
    <n v="31"/>
    <n v="0"/>
    <s v="WPUJC Vaas"/>
    <s v="MA Chidambaram Stadium, Chepauk"/>
    <s v="K Hariharan"/>
    <s v="DJ Harper"/>
    <m/>
  </r>
  <r>
    <n v="180"/>
    <x v="3"/>
    <s v="Ahmedabad"/>
    <s v="15-03-2010"/>
    <s v="Rajasthan Royals"/>
    <s v="Delhi Daredevils"/>
    <x v="7"/>
    <x v="0"/>
    <s v="normal"/>
    <n v="0"/>
    <x v="6"/>
    <n v="0"/>
    <n v="6"/>
    <s v="V Sehwag"/>
    <s v="Sardar Patel Stadium, Motera"/>
    <s v="BG Jerling"/>
    <s v="RE Koertzen"/>
    <m/>
  </r>
  <r>
    <n v="181"/>
    <x v="3"/>
    <s v="Bangalore"/>
    <s v="16-03-2010"/>
    <s v="Kings XI Punjab"/>
    <s v="Royal Challengers Bangalore"/>
    <x v="3"/>
    <x v="1"/>
    <s v="normal"/>
    <n v="0"/>
    <x v="4"/>
    <n v="0"/>
    <n v="8"/>
    <s v="JH Kallis"/>
    <s v="M Chinnaswamy Stadium"/>
    <s v="S Das"/>
    <s v="DJ Harper"/>
    <m/>
  </r>
  <r>
    <n v="182"/>
    <x v="3"/>
    <s v="Kolkata"/>
    <s v="16-03-2010"/>
    <s v="Chennai Super Kings"/>
    <s v="Kolkata Knight Riders"/>
    <x v="8"/>
    <x v="1"/>
    <s v="normal"/>
    <n v="0"/>
    <x v="8"/>
    <n v="55"/>
    <n v="0"/>
    <s v="MS Dhoni"/>
    <s v="Eden Gardens"/>
    <s v="HDPK Dharmasena"/>
    <s v="AM Saheba"/>
    <m/>
  </r>
  <r>
    <n v="183"/>
    <x v="3"/>
    <s v="Delhi"/>
    <s v="17-03-2010"/>
    <s v="Mumbai Indians"/>
    <s v="Delhi Daredevils"/>
    <x v="7"/>
    <x v="0"/>
    <s v="normal"/>
    <n v="0"/>
    <x v="5"/>
    <n v="98"/>
    <n v="0"/>
    <s v="SR Tendulkar"/>
    <s v="Feroz Shah Kotla"/>
    <s v="BR Doctrove"/>
    <s v="SK Tarapore"/>
    <m/>
  </r>
  <r>
    <n v="184"/>
    <x v="3"/>
    <s v="Bangalore"/>
    <s v="18-03-2010"/>
    <s v="Rajasthan Royals"/>
    <s v="Royal Challengers Bangalore"/>
    <x v="0"/>
    <x v="0"/>
    <s v="normal"/>
    <n v="0"/>
    <x v="4"/>
    <n v="0"/>
    <n v="10"/>
    <s v="JH Kallis"/>
    <s v="M Chinnaswamy Stadium"/>
    <s v="K Hariharan"/>
    <s v="DJ Harper"/>
    <m/>
  </r>
  <r>
    <n v="185"/>
    <x v="3"/>
    <s v="Delhi"/>
    <s v="19-03-2010"/>
    <s v="Delhi Daredevils"/>
    <s v="Chennai Super Kings"/>
    <x v="7"/>
    <x v="1"/>
    <s v="normal"/>
    <n v="0"/>
    <x v="8"/>
    <n v="0"/>
    <n v="5"/>
    <s v="ML Hayden"/>
    <s v="Feroz Shah Kotla"/>
    <s v="BR Doctrove"/>
    <s v="SK Tarapore"/>
    <m/>
  </r>
  <r>
    <n v="186"/>
    <x v="3"/>
    <s v="Cuttack"/>
    <s v="19-03-2010"/>
    <s v="Deccan Chargers"/>
    <s v="Kings XI Punjab"/>
    <x v="3"/>
    <x v="0"/>
    <s v="normal"/>
    <n v="0"/>
    <x v="10"/>
    <n v="6"/>
    <n v="0"/>
    <s v="A Symonds"/>
    <s v="Barabati Stadium"/>
    <s v="BF Bowden"/>
    <s v="M Erasmus"/>
    <m/>
  </r>
  <r>
    <n v="187"/>
    <x v="3"/>
    <s v="Ahmedabad"/>
    <s v="20-03-2010"/>
    <s v="Rajasthan Royals"/>
    <s v="Kolkata Knight Riders"/>
    <x v="9"/>
    <x v="1"/>
    <s v="normal"/>
    <n v="0"/>
    <x v="9"/>
    <n v="34"/>
    <n v="0"/>
    <s v="AA Jhunjhunwala"/>
    <s v="Sardar Patel Stadium, Motera"/>
    <s v="RE Koertzen"/>
    <s v="RB Tiffin"/>
    <m/>
  </r>
  <r>
    <n v="188"/>
    <x v="3"/>
    <s v="Mumbai"/>
    <s v="20-03-2010"/>
    <s v="Mumbai Indians"/>
    <s v="Royal Challengers Bangalore"/>
    <x v="5"/>
    <x v="1"/>
    <s v="normal"/>
    <n v="0"/>
    <x v="4"/>
    <n v="0"/>
    <n v="7"/>
    <s v="JH Kallis"/>
    <s v="Brabourne Stadium"/>
    <s v="HDPK Dharmasena"/>
    <s v="SS Hazare"/>
    <m/>
  </r>
  <r>
    <n v="189"/>
    <x v="3"/>
    <s v="Cuttack"/>
    <s v="21-03-2010"/>
    <s v="Deccan Chargers"/>
    <s v="Delhi Daredevils"/>
    <x v="10"/>
    <x v="1"/>
    <s v="normal"/>
    <n v="0"/>
    <x v="10"/>
    <n v="10"/>
    <n v="0"/>
    <s v="A Symonds"/>
    <s v="Barabati Stadium"/>
    <s v="BF Bowden"/>
    <s v="M Erasmus"/>
    <m/>
  </r>
  <r>
    <n v="190"/>
    <x v="3"/>
    <s v="Chennai"/>
    <s v="21-03-2010"/>
    <s v="Kings XI Punjab"/>
    <s v="Chennai Super Kings"/>
    <x v="8"/>
    <x v="0"/>
    <s v="tie"/>
    <n v="0"/>
    <x v="3"/>
    <n v="0"/>
    <n v="0"/>
    <s v="J Theron"/>
    <s v="MA Chidambaram Stadium, Chepauk"/>
    <s v="K Hariharan"/>
    <s v="DJ Harper"/>
    <m/>
  </r>
  <r>
    <n v="191"/>
    <x v="3"/>
    <s v="Mumbai"/>
    <s v="22-03-2010"/>
    <s v="Kolkata Knight Riders"/>
    <s v="Mumbai Indians"/>
    <x v="2"/>
    <x v="1"/>
    <s v="normal"/>
    <n v="0"/>
    <x v="5"/>
    <n v="0"/>
    <n v="7"/>
    <s v="SR Tendulkar"/>
    <s v="Brabourne Stadium"/>
    <s v="SS Hazare"/>
    <s v="SJA Taufel"/>
    <m/>
  </r>
  <r>
    <n v="192"/>
    <x v="3"/>
    <s v="Bangalore"/>
    <s v="23-03-2010"/>
    <s v="Royal Challengers Bangalore"/>
    <s v="Chennai Super Kings"/>
    <x v="8"/>
    <x v="0"/>
    <s v="normal"/>
    <n v="0"/>
    <x v="4"/>
    <n v="36"/>
    <n v="0"/>
    <s v="RV Uthappa"/>
    <s v="M Chinnaswamy Stadium"/>
    <s v="RE Koertzen"/>
    <s v="RB Tiffin"/>
    <m/>
  </r>
  <r>
    <n v="193"/>
    <x v="3"/>
    <s v="Chandigarh"/>
    <s v="24-03-2010"/>
    <s v="Rajasthan Royals"/>
    <s v="Kings XI Punjab"/>
    <x v="3"/>
    <x v="0"/>
    <s v="normal"/>
    <n v="0"/>
    <x v="9"/>
    <n v="31"/>
    <n v="0"/>
    <s v="AC Voges"/>
    <s v="Punjab Cricket Association Stadium, Mohali"/>
    <s v="BR Doctrove"/>
    <s v="SK Tarapore"/>
    <m/>
  </r>
  <r>
    <n v="194"/>
    <x v="3"/>
    <s v="Mumbai"/>
    <s v="25-03-2010"/>
    <s v="Chennai Super Kings"/>
    <s v="Mumbai Indians"/>
    <x v="5"/>
    <x v="0"/>
    <s v="normal"/>
    <n v="0"/>
    <x v="5"/>
    <n v="0"/>
    <n v="5"/>
    <s v="SR Tendulkar"/>
    <s v="Brabourne Stadium"/>
    <s v="BF Bowden"/>
    <s v="AM Saheba"/>
    <m/>
  </r>
  <r>
    <n v="195"/>
    <x v="3"/>
    <s v="Ahmedabad"/>
    <s v="26-03-2010"/>
    <s v="Deccan Chargers"/>
    <s v="Rajasthan Royals"/>
    <x v="10"/>
    <x v="1"/>
    <s v="normal"/>
    <n v="0"/>
    <x v="9"/>
    <n v="0"/>
    <n v="8"/>
    <s v="YK Pathan"/>
    <s v="Sardar Patel Stadium, Motera"/>
    <s v="HDPK Dharmasena"/>
    <s v="SJA Taufel"/>
    <m/>
  </r>
  <r>
    <n v="196"/>
    <x v="3"/>
    <s v="Chandigarh"/>
    <s v="27-03-2010"/>
    <s v="Kolkata Knight Riders"/>
    <s v="Kings XI Punjab"/>
    <x v="2"/>
    <x v="1"/>
    <s v="normal"/>
    <n v="0"/>
    <x v="2"/>
    <n v="39"/>
    <n v="0"/>
    <s v="MK Tiwary"/>
    <s v="Punjab Cricket Association Stadium, Mohali"/>
    <s v="BR Doctrove"/>
    <s v="S Ravi"/>
    <m/>
  </r>
  <r>
    <n v="197"/>
    <x v="3"/>
    <s v="Bangalore"/>
    <s v="25-03-2010"/>
    <s v="Delhi Daredevils"/>
    <s v="Royal Challengers Bangalore"/>
    <x v="0"/>
    <x v="0"/>
    <s v="normal"/>
    <n v="0"/>
    <x v="6"/>
    <n v="17"/>
    <n v="0"/>
    <s v="KM Jadhav"/>
    <s v="M Chinnaswamy Stadium"/>
    <s v="BG Jerling"/>
    <s v="RE Koertzen"/>
    <m/>
  </r>
  <r>
    <n v="198"/>
    <x v="3"/>
    <s v="Ahmedabad"/>
    <s v="28-03-2010"/>
    <s v="Rajasthan Royals"/>
    <s v="Chennai Super Kings"/>
    <x v="9"/>
    <x v="1"/>
    <s v="normal"/>
    <n v="0"/>
    <x v="9"/>
    <n v="17"/>
    <n v="0"/>
    <s v="NV Ojha"/>
    <s v="Sardar Patel Stadium, Motera"/>
    <s v="SS Hazare"/>
    <s v="SJA Taufel"/>
    <m/>
  </r>
  <r>
    <n v="199"/>
    <x v="3"/>
    <s v="Mumbai"/>
    <s v="28-03-2010"/>
    <s v="Mumbai Indians"/>
    <s v="Deccan Chargers"/>
    <x v="10"/>
    <x v="0"/>
    <s v="normal"/>
    <n v="0"/>
    <x v="5"/>
    <n v="41"/>
    <n v="0"/>
    <s v="Harbhajan Singh"/>
    <s v="Dr DY Patil Sports Academy"/>
    <s v="S Das"/>
    <s v="K Hariharan"/>
    <m/>
  </r>
  <r>
    <n v="200"/>
    <x v="3"/>
    <s v="Delhi"/>
    <s v="29-03-2010"/>
    <s v="Delhi Daredevils"/>
    <s v="Kolkata Knight Riders"/>
    <x v="7"/>
    <x v="1"/>
    <s v="normal"/>
    <n v="0"/>
    <x v="6"/>
    <n v="40"/>
    <n v="0"/>
    <s v="DA Warner"/>
    <s v="Feroz Shah Kotla"/>
    <s v="SS Hazare"/>
    <s v="SJA Taufel"/>
    <m/>
  </r>
  <r>
    <n v="201"/>
    <x v="3"/>
    <s v="Mumbai"/>
    <s v="30-03-2010"/>
    <s v="Kings XI Punjab"/>
    <s v="Mumbai Indians"/>
    <x v="5"/>
    <x v="0"/>
    <s v="normal"/>
    <n v="0"/>
    <x v="5"/>
    <n v="0"/>
    <n v="4"/>
    <s v="SL Malinga"/>
    <s v="Brabourne Stadium"/>
    <s v="BR Doctrove"/>
    <s v="SK Tarapore"/>
    <m/>
  </r>
  <r>
    <n v="202"/>
    <x v="3"/>
    <s v="Chennai"/>
    <s v="31-03-2010"/>
    <s v="Royal Challengers Bangalore"/>
    <s v="Chennai Super Kings"/>
    <x v="0"/>
    <x v="1"/>
    <s v="normal"/>
    <n v="0"/>
    <x v="8"/>
    <n v="0"/>
    <n v="5"/>
    <s v="M Vijay"/>
    <s v="MA Chidambaram Stadium, Chepauk"/>
    <s v="BG Jerling"/>
    <s v="RE Koertzen"/>
    <m/>
  </r>
  <r>
    <n v="203"/>
    <x v="3"/>
    <s v="Delhi"/>
    <s v="31-03-2010"/>
    <s v="Delhi Daredevils"/>
    <s v="Rajasthan Royals"/>
    <x v="7"/>
    <x v="1"/>
    <s v="normal"/>
    <n v="0"/>
    <x v="6"/>
    <n v="67"/>
    <n v="0"/>
    <s v="KD Karthik"/>
    <s v="Feroz Shah Kotla"/>
    <s v="HDPK Dharmasena"/>
    <s v="SJA Taufel"/>
    <m/>
  </r>
  <r>
    <n v="204"/>
    <x v="3"/>
    <s v="Kolkata"/>
    <d v="2010-01-04T00:00:00"/>
    <s v="Kolkata Knight Riders"/>
    <s v="Deccan Chargers"/>
    <x v="2"/>
    <x v="1"/>
    <s v="normal"/>
    <n v="0"/>
    <x v="2"/>
    <n v="24"/>
    <n v="0"/>
    <s v="SC Ganguly"/>
    <s v="Eden Gardens"/>
    <s v="K Hariharan"/>
    <s v="DJ Harper"/>
    <m/>
  </r>
  <r>
    <n v="205"/>
    <x v="3"/>
    <s v="Chandigarh"/>
    <d v="2010-02-04T00:00:00"/>
    <s v="Kings XI Punjab"/>
    <s v="Royal Challengers Bangalore"/>
    <x v="3"/>
    <x v="1"/>
    <s v="normal"/>
    <n v="0"/>
    <x v="4"/>
    <n v="0"/>
    <n v="6"/>
    <s v="KP Pietersen"/>
    <s v="Punjab Cricket Association Stadium, Mohali"/>
    <s v="BF Bowden"/>
    <s v="M Erasmus"/>
    <m/>
  </r>
  <r>
    <n v="206"/>
    <x v="3"/>
    <s v="Chennai"/>
    <d v="2010-03-04T00:00:00"/>
    <s v="Chennai Super Kings"/>
    <s v="Rajasthan Royals"/>
    <x v="8"/>
    <x v="1"/>
    <s v="normal"/>
    <n v="0"/>
    <x v="8"/>
    <n v="23"/>
    <n v="0"/>
    <s v="M Vijay"/>
    <s v="MA Chidambaram Stadium, Chepauk"/>
    <s v="RE Koertzen"/>
    <s v="RB Tiffin"/>
    <m/>
  </r>
  <r>
    <n v="207"/>
    <x v="3"/>
    <s v="Mumbai"/>
    <d v="2010-03-04T00:00:00"/>
    <s v="Mumbai Indians"/>
    <s v="Deccan Chargers"/>
    <x v="5"/>
    <x v="1"/>
    <s v="normal"/>
    <n v="0"/>
    <x v="5"/>
    <n v="63"/>
    <n v="0"/>
    <s v="AT Rayudu"/>
    <s v="Brabourne Stadium"/>
    <s v="BR Doctrove"/>
    <s v="S Ravi"/>
    <m/>
  </r>
  <r>
    <n v="208"/>
    <x v="3"/>
    <s v="Kolkata"/>
    <d v="2010-04-04T00:00:00"/>
    <s v="Kolkata Knight Riders"/>
    <s v="Kings XI Punjab"/>
    <x v="2"/>
    <x v="1"/>
    <s v="normal"/>
    <n v="0"/>
    <x v="3"/>
    <n v="0"/>
    <n v="8"/>
    <s v="DPMD Jayawardene"/>
    <s v="Eden Gardens"/>
    <s v="S Asnani"/>
    <s v="DJ Harper"/>
    <m/>
  </r>
  <r>
    <n v="209"/>
    <x v="3"/>
    <s v="Delhi"/>
    <d v="2010-04-04T00:00:00"/>
    <s v="Delhi Daredevils"/>
    <s v="Royal Challengers Bangalore"/>
    <x v="7"/>
    <x v="1"/>
    <s v="normal"/>
    <n v="0"/>
    <x v="6"/>
    <n v="37"/>
    <n v="0"/>
    <s v="PD Collingwood"/>
    <s v="Feroz Shah Kotla"/>
    <s v="BF Bowden"/>
    <s v="M Erasmus"/>
    <m/>
  </r>
  <r>
    <n v="210"/>
    <x v="3"/>
    <s v="Nagpur"/>
    <d v="2010-05-04T00:00:00"/>
    <s v="Rajasthan Royals"/>
    <s v="Deccan Chargers"/>
    <x v="9"/>
    <x v="1"/>
    <s v="normal"/>
    <n v="0"/>
    <x v="9"/>
    <n v="2"/>
    <n v="0"/>
    <s v="SK Warne"/>
    <s v="Vidarbha Cricket Association Stadium, Jamtha"/>
    <s v="HDPK Dharmasena"/>
    <s v="SJA Taufel"/>
    <m/>
  </r>
  <r>
    <n v="211"/>
    <x v="3"/>
    <s v="Chennai"/>
    <d v="2010-06-04T00:00:00"/>
    <s v="Chennai Super Kings"/>
    <s v="Mumbai Indians"/>
    <x v="8"/>
    <x v="1"/>
    <s v="normal"/>
    <n v="0"/>
    <x v="8"/>
    <n v="24"/>
    <n v="0"/>
    <s v="SK Raina"/>
    <s v="MA Chidambaram Stadium, Chepauk"/>
    <s v="S Asnani"/>
    <s v="DJ Harper"/>
    <m/>
  </r>
  <r>
    <n v="212"/>
    <x v="3"/>
    <s v="Jaipur"/>
    <d v="2010-07-04T00:00:00"/>
    <s v="Kings XI Punjab"/>
    <s v="Rajasthan Royals"/>
    <x v="3"/>
    <x v="1"/>
    <s v="normal"/>
    <n v="0"/>
    <x v="9"/>
    <n v="0"/>
    <n v="9"/>
    <s v="MJ Lumb"/>
    <s v="Sawai Mansingh Stadium"/>
    <s v="S Ravi"/>
    <s v="SK Tarapore"/>
    <m/>
  </r>
  <r>
    <n v="213"/>
    <x v="3"/>
    <s v="Kolkata"/>
    <d v="2010-07-04T00:00:00"/>
    <s v="Kolkata Knight Riders"/>
    <s v="Delhi Daredevils"/>
    <x v="2"/>
    <x v="1"/>
    <s v="normal"/>
    <n v="0"/>
    <x v="2"/>
    <n v="14"/>
    <n v="0"/>
    <s v="SC Ganguly"/>
    <s v="Eden Gardens"/>
    <s v="BG Jerling"/>
    <s v="RE Koertzen"/>
    <m/>
  </r>
  <r>
    <n v="214"/>
    <x v="3"/>
    <s v="Bangalore"/>
    <d v="2010-08-04T00:00:00"/>
    <s v="Royal Challengers Bangalore"/>
    <s v="Deccan Chargers"/>
    <x v="10"/>
    <x v="0"/>
    <s v="normal"/>
    <n v="0"/>
    <x v="10"/>
    <n v="0"/>
    <n v="7"/>
    <s v="TL Suman"/>
    <s v="M Chinnaswamy Stadium"/>
    <s v="S Asnani"/>
    <s v="DJ Harper"/>
    <m/>
  </r>
  <r>
    <n v="215"/>
    <x v="3"/>
    <s v="Chandigarh"/>
    <d v="2010-09-04T00:00:00"/>
    <s v="Mumbai Indians"/>
    <s v="Kings XI Punjab"/>
    <x v="5"/>
    <x v="1"/>
    <s v="normal"/>
    <n v="0"/>
    <x v="3"/>
    <n v="0"/>
    <n v="6"/>
    <s v="KC Sangakkara"/>
    <s v="Punjab Cricket Association Stadium, Mohali"/>
    <s v="M Erasmus"/>
    <s v="AM Saheba"/>
    <m/>
  </r>
  <r>
    <n v="216"/>
    <x v="3"/>
    <s v="Nagpur"/>
    <d v="2010-10-04T00:00:00"/>
    <s v="Chennai Super Kings"/>
    <s v="Deccan Chargers"/>
    <x v="8"/>
    <x v="1"/>
    <s v="normal"/>
    <n v="0"/>
    <x v="10"/>
    <n v="0"/>
    <n v="6"/>
    <s v="RJ Harris"/>
    <s v="Vidarbha Cricket Association Stadium, Jamtha"/>
    <s v="HDPK Dharmasena"/>
    <s v="SJA Taufel"/>
    <m/>
  </r>
  <r>
    <n v="217"/>
    <x v="3"/>
    <s v="Bangalore"/>
    <d v="2010-10-04T00:00:00"/>
    <s v="Kolkata Knight Riders"/>
    <s v="Royal Challengers Bangalore"/>
    <x v="0"/>
    <x v="0"/>
    <s v="normal"/>
    <n v="0"/>
    <x v="4"/>
    <n v="0"/>
    <n v="7"/>
    <s v="R Vinay Kumar"/>
    <s v="M Chinnaswamy Stadium"/>
    <s v="K Hariharan"/>
    <s v="DJ Harper"/>
    <m/>
  </r>
  <r>
    <n v="218"/>
    <x v="3"/>
    <s v="Delhi"/>
    <d v="2010-11-04T00:00:00"/>
    <s v="Delhi Daredevils"/>
    <s v="Kings XI Punjab"/>
    <x v="7"/>
    <x v="1"/>
    <s v="normal"/>
    <n v="0"/>
    <x v="3"/>
    <n v="0"/>
    <n v="7"/>
    <s v="PP Chawla"/>
    <s v="Feroz Shah Kotla"/>
    <s v="BF Bowden"/>
    <s v="AM Saheba"/>
    <m/>
  </r>
  <r>
    <n v="219"/>
    <x v="3"/>
    <s v="Jaipur"/>
    <d v="2010-11-04T00:00:00"/>
    <s v="Mumbai Indians"/>
    <s v="Rajasthan Royals"/>
    <x v="9"/>
    <x v="0"/>
    <s v="normal"/>
    <n v="0"/>
    <x v="5"/>
    <n v="37"/>
    <n v="0"/>
    <s v="SR Tendulkar"/>
    <s v="Sawai Mansingh Stadium"/>
    <s v="BR Doctrove"/>
    <s v="SK Tarapore"/>
    <m/>
  </r>
  <r>
    <n v="220"/>
    <x v="3"/>
    <s v="Nagpur"/>
    <d v="2010-12-04T00:00:00"/>
    <s v="Deccan Chargers"/>
    <s v="Royal Challengers Bangalore"/>
    <x v="0"/>
    <x v="0"/>
    <s v="normal"/>
    <n v="0"/>
    <x v="10"/>
    <n v="13"/>
    <n v="0"/>
    <s v="Harmeet Singh"/>
    <s v="Vidarbha Cricket Association Stadium, Jamtha"/>
    <s v="RE Koertzen"/>
    <s v="RB Tiffin"/>
    <m/>
  </r>
  <r>
    <n v="221"/>
    <x v="3"/>
    <s v="Mumbai"/>
    <s v="13-04-2010"/>
    <s v="Mumbai Indians"/>
    <s v="Delhi Daredevils"/>
    <x v="5"/>
    <x v="1"/>
    <s v="normal"/>
    <n v="0"/>
    <x v="5"/>
    <n v="39"/>
    <n v="0"/>
    <s v="KA Pollard"/>
    <s v="Brabourne Stadium"/>
    <s v="S Asnani"/>
    <s v="DJ Harper"/>
    <m/>
  </r>
  <r>
    <n v="222"/>
    <x v="3"/>
    <s v="Chennai"/>
    <s v="13-04-2010"/>
    <s v="Kolkata Knight Riders"/>
    <s v="Chennai Super Kings"/>
    <x v="2"/>
    <x v="1"/>
    <s v="normal"/>
    <n v="0"/>
    <x v="8"/>
    <n v="0"/>
    <n v="9"/>
    <s v="R Ashwin"/>
    <s v="MA Chidambaram Stadium, Chepauk"/>
    <s v="SS Hazare"/>
    <s v="SJA Taufel"/>
    <m/>
  </r>
  <r>
    <n v="223"/>
    <x v="3"/>
    <s v="Jaipur"/>
    <s v="14-04-2010"/>
    <s v="Rajasthan Royals"/>
    <s v="Royal Challengers Bangalore"/>
    <x v="9"/>
    <x v="1"/>
    <s v="normal"/>
    <n v="0"/>
    <x v="4"/>
    <n v="0"/>
    <n v="5"/>
    <s v="KP Pietersen"/>
    <s v="Sawai Mansingh Stadium"/>
    <s v="BR Doctrove"/>
    <s v="S Ravi"/>
    <m/>
  </r>
  <r>
    <n v="224"/>
    <x v="3"/>
    <s v="Chennai"/>
    <s v="15-04-2010"/>
    <s v="Chennai Super Kings"/>
    <s v="Delhi Daredevils"/>
    <x v="8"/>
    <x v="1"/>
    <s v="normal"/>
    <n v="0"/>
    <x v="6"/>
    <n v="0"/>
    <n v="6"/>
    <s v="G Gambhir"/>
    <s v="MA Chidambaram Stadium, Chepauk"/>
    <s v="HDPK Dharmasena"/>
    <s v="SS Hazare"/>
    <m/>
  </r>
  <r>
    <n v="225"/>
    <x v="3"/>
    <s v="Dharamsala"/>
    <s v="16-04-2010"/>
    <s v="Kings XI Punjab"/>
    <s v="Deccan Chargers"/>
    <x v="10"/>
    <x v="0"/>
    <s v="normal"/>
    <n v="0"/>
    <x v="10"/>
    <n v="0"/>
    <n v="5"/>
    <s v="RG Sharma"/>
    <s v="Himachal Pradesh Cricket Association Stadium"/>
    <s v="M Erasmus"/>
    <s v="AM Saheba"/>
    <m/>
  </r>
  <r>
    <n v="226"/>
    <x v="3"/>
    <s v="Bangalore"/>
    <s v="17-04-2010"/>
    <s v="Mumbai Indians"/>
    <s v="Royal Challengers Bangalore"/>
    <x v="0"/>
    <x v="0"/>
    <s v="normal"/>
    <n v="0"/>
    <x v="5"/>
    <n v="57"/>
    <n v="0"/>
    <s v="R McLaren"/>
    <s v="M Chinnaswamy Stadium"/>
    <s v="HDPK Dharmasena"/>
    <s v="SJA Taufel"/>
    <m/>
  </r>
  <r>
    <n v="227"/>
    <x v="3"/>
    <s v="Kolkata"/>
    <s v="17-04-2010"/>
    <s v="Rajasthan Royals"/>
    <s v="Kolkata Knight Riders"/>
    <x v="9"/>
    <x v="1"/>
    <s v="normal"/>
    <n v="0"/>
    <x v="2"/>
    <n v="0"/>
    <n v="8"/>
    <s v="JD Unadkat"/>
    <s v="Eden Gardens"/>
    <s v="BG Jerling"/>
    <s v="RB Tiffin"/>
    <m/>
  </r>
  <r>
    <n v="228"/>
    <x v="3"/>
    <s v="Dharamsala"/>
    <s v="18-04-2010"/>
    <s v="Kings XI Punjab"/>
    <s v="Chennai Super Kings"/>
    <x v="8"/>
    <x v="0"/>
    <s v="normal"/>
    <n v="0"/>
    <x v="8"/>
    <n v="0"/>
    <n v="6"/>
    <s v="MS Dhoni"/>
    <s v="Himachal Pradesh Cricket Association Stadium"/>
    <s v="BF Bowden"/>
    <s v="AM Saheba"/>
    <m/>
  </r>
  <r>
    <n v="229"/>
    <x v="3"/>
    <s v="Delhi"/>
    <s v="18-04-2010"/>
    <s v="Deccan Chargers"/>
    <s v="Delhi Daredevils"/>
    <x v="10"/>
    <x v="1"/>
    <s v="normal"/>
    <n v="0"/>
    <x v="10"/>
    <n v="11"/>
    <n v="0"/>
    <s v="A Symonds"/>
    <s v="Feroz Shah Kotla"/>
    <s v="BR Doctrove"/>
    <s v="SK Tarapore"/>
    <m/>
  </r>
  <r>
    <n v="230"/>
    <x v="3"/>
    <s v="Kolkata"/>
    <s v="19-04-2010"/>
    <s v="Mumbai Indians"/>
    <s v="Kolkata Knight Riders"/>
    <x v="5"/>
    <x v="1"/>
    <s v="normal"/>
    <n v="0"/>
    <x v="2"/>
    <n v="0"/>
    <n v="9"/>
    <s v="M Kartik"/>
    <s v="Eden Gardens"/>
    <s v="BG Jerling"/>
    <s v="RE Koertzen"/>
    <m/>
  </r>
  <r>
    <n v="231"/>
    <x v="3"/>
    <s v="Mumbai"/>
    <s v="21-04-2010"/>
    <s v="Mumbai Indians"/>
    <s v="Royal Challengers Bangalore"/>
    <x v="5"/>
    <x v="1"/>
    <s v="normal"/>
    <n v="0"/>
    <x v="5"/>
    <n v="35"/>
    <n v="0"/>
    <s v="KA Pollard"/>
    <s v="Dr DY Patil Sports Academy"/>
    <s v="BR Doctrove"/>
    <s v="RB Tiffin"/>
    <m/>
  </r>
  <r>
    <n v="232"/>
    <x v="3"/>
    <s v="Mumbai"/>
    <s v="22-04-2010"/>
    <s v="Chennai Super Kings"/>
    <s v="Deccan Chargers"/>
    <x v="8"/>
    <x v="1"/>
    <s v="normal"/>
    <n v="0"/>
    <x v="8"/>
    <n v="38"/>
    <n v="0"/>
    <s v="DE Bollinger"/>
    <s v="Dr DY Patil Sports Academy"/>
    <s v="BR Doctrove"/>
    <s v="RB Tiffin"/>
    <m/>
  </r>
  <r>
    <n v="233"/>
    <x v="3"/>
    <s v="Mumbai"/>
    <s v="24-04-2010"/>
    <s v="Deccan Chargers"/>
    <s v="Royal Challengers Bangalore"/>
    <x v="10"/>
    <x v="1"/>
    <s v="normal"/>
    <n v="0"/>
    <x v="4"/>
    <n v="0"/>
    <n v="9"/>
    <s v="A Kumble"/>
    <s v="Dr DY Patil Sports Academy"/>
    <s v="RE Koertzen"/>
    <s v="SJA Taufel"/>
    <m/>
  </r>
  <r>
    <n v="234"/>
    <x v="3"/>
    <s v="Mumbai"/>
    <s v="25-04-2010"/>
    <s v="Chennai Super Kings"/>
    <s v="Mumbai Indians"/>
    <x v="8"/>
    <x v="1"/>
    <s v="normal"/>
    <n v="0"/>
    <x v="8"/>
    <n v="22"/>
    <n v="0"/>
    <s v="SK Raina"/>
    <s v="Dr DY Patil Sports Academy"/>
    <s v="RE Koertzen"/>
    <s v="SJA Taufel"/>
    <m/>
  </r>
  <r>
    <n v="235"/>
    <x v="4"/>
    <s v="Chennai"/>
    <d v="2011-08-04T00:00:00"/>
    <s v="Chennai Super Kings"/>
    <s v="Kolkata Knight Riders"/>
    <x v="8"/>
    <x v="1"/>
    <s v="normal"/>
    <n v="0"/>
    <x v="8"/>
    <n v="2"/>
    <n v="0"/>
    <s v="S Anirudha"/>
    <s v="MA Chidambaram Stadium, Chepauk"/>
    <s v="BR Doctrove"/>
    <s v="PR Reiffel"/>
    <m/>
  </r>
  <r>
    <n v="236"/>
    <x v="4"/>
    <s v="Hyderabad"/>
    <d v="2011-09-04T00:00:00"/>
    <s v="Deccan Chargers"/>
    <s v="Rajasthan Royals"/>
    <x v="9"/>
    <x v="0"/>
    <s v="normal"/>
    <n v="0"/>
    <x v="9"/>
    <n v="0"/>
    <n v="8"/>
    <s v="SK Trivedi"/>
    <s v="Rajiv Gandhi International Stadium, Uppal"/>
    <s v="RE Koertzen"/>
    <s v="SK Tarapore"/>
    <m/>
  </r>
  <r>
    <n v="237"/>
    <x v="4"/>
    <s v="Kochi"/>
    <d v="2011-09-04T00:00:00"/>
    <s v="Kochi Tuskers Kerala"/>
    <s v="Royal Challengers Bangalore"/>
    <x v="11"/>
    <x v="1"/>
    <s v="normal"/>
    <n v="0"/>
    <x v="4"/>
    <n v="0"/>
    <n v="6"/>
    <s v="AB de Villiers"/>
    <s v="Nehru Stadium"/>
    <s v="HDPK Dharmasena"/>
    <s v="K Hariharan"/>
    <m/>
  </r>
  <r>
    <n v="238"/>
    <x v="4"/>
    <s v="Delhi"/>
    <d v="2011-10-04T00:00:00"/>
    <s v="Delhi Daredevils"/>
    <s v="Mumbai Indians"/>
    <x v="7"/>
    <x v="1"/>
    <s v="normal"/>
    <n v="0"/>
    <x v="5"/>
    <n v="0"/>
    <n v="8"/>
    <s v="SL Malinga"/>
    <s v="Feroz Shah Kotla"/>
    <s v="AM Saheba"/>
    <s v="RB Tiffin"/>
    <m/>
  </r>
  <r>
    <n v="239"/>
    <x v="4"/>
    <s v="Mumbai"/>
    <d v="2011-10-04T00:00:00"/>
    <s v="Kings XI Punjab"/>
    <s v="Pune Warriors"/>
    <x v="3"/>
    <x v="1"/>
    <s v="normal"/>
    <n v="0"/>
    <x v="11"/>
    <n v="0"/>
    <n v="7"/>
    <s v="SB Wagh"/>
    <s v="Dr DY Patil Sports Academy"/>
    <s v="BR Doctrove"/>
    <s v="PR Reiffel"/>
    <m/>
  </r>
  <r>
    <n v="240"/>
    <x v="4"/>
    <s v="Kolkata"/>
    <d v="2011-11-04T00:00:00"/>
    <s v="Kolkata Knight Riders"/>
    <s v="Deccan Chargers"/>
    <x v="2"/>
    <x v="1"/>
    <s v="normal"/>
    <n v="0"/>
    <x v="2"/>
    <n v="9"/>
    <n v="0"/>
    <s v="JH Kallis"/>
    <s v="Eden Gardens"/>
    <s v="RE Koertzen"/>
    <s v="SK Tarapore"/>
    <m/>
  </r>
  <r>
    <n v="241"/>
    <x v="4"/>
    <s v="Jaipur"/>
    <d v="2011-12-04T00:00:00"/>
    <s v="Delhi Daredevils"/>
    <s v="Rajasthan Royals"/>
    <x v="7"/>
    <x v="1"/>
    <s v="normal"/>
    <n v="0"/>
    <x v="9"/>
    <n v="0"/>
    <n v="6"/>
    <s v="SK Warne"/>
    <s v="Sawai Mansingh Stadium"/>
    <s v="Aleem Dar"/>
    <s v="RB Tiffin"/>
    <m/>
  </r>
  <r>
    <n v="242"/>
    <x v="4"/>
    <s v="Bangalore"/>
    <d v="2011-12-04T00:00:00"/>
    <s v="Royal Challengers Bangalore"/>
    <s v="Mumbai Indians"/>
    <x v="5"/>
    <x v="0"/>
    <s v="normal"/>
    <n v="0"/>
    <x v="5"/>
    <n v="0"/>
    <n v="9"/>
    <s v="SR Tendulkar"/>
    <s v="M Chinnaswamy Stadium"/>
    <s v="HDPK Dharmasena"/>
    <s v="AL Hill"/>
    <m/>
  </r>
  <r>
    <n v="243"/>
    <x v="4"/>
    <s v="Chandigarh"/>
    <s v="13-04-2011"/>
    <s v="Chennai Super Kings"/>
    <s v="Kings XI Punjab"/>
    <x v="3"/>
    <x v="0"/>
    <s v="normal"/>
    <n v="0"/>
    <x v="3"/>
    <n v="0"/>
    <n v="6"/>
    <s v="PC Valthaty"/>
    <s v="Punjab Cricket Association Stadium, Mohali"/>
    <s v="Asad Rauf"/>
    <s v="SL Shastri"/>
    <m/>
  </r>
  <r>
    <n v="244"/>
    <x v="4"/>
    <s v="Mumbai"/>
    <s v="13-04-2011"/>
    <s v="Kochi Tuskers Kerala"/>
    <s v="Pune Warriors"/>
    <x v="11"/>
    <x v="1"/>
    <s v="normal"/>
    <n v="0"/>
    <x v="11"/>
    <n v="0"/>
    <n v="4"/>
    <s v="MD Mishra"/>
    <s v="Dr DY Patil Sports Academy"/>
    <s v="S Asnani"/>
    <s v="PR Reiffel"/>
    <m/>
  </r>
  <r>
    <n v="245"/>
    <x v="4"/>
    <s v="Hyderabad"/>
    <s v="14-04-2011"/>
    <s v="Deccan Chargers"/>
    <s v="Royal Challengers Bangalore"/>
    <x v="0"/>
    <x v="0"/>
    <s v="normal"/>
    <n v="0"/>
    <x v="10"/>
    <n v="33"/>
    <n v="0"/>
    <s v="DW Steyn"/>
    <s v="Rajiv Gandhi International Stadium, Uppal"/>
    <s v="RE Koertzen"/>
    <s v="S Ravi"/>
    <m/>
  </r>
  <r>
    <n v="246"/>
    <x v="4"/>
    <s v="Jaipur"/>
    <s v="15-04-2011"/>
    <s v="Rajasthan Royals"/>
    <s v="Kolkata Knight Riders"/>
    <x v="2"/>
    <x v="0"/>
    <s v="normal"/>
    <n v="0"/>
    <x v="2"/>
    <n v="0"/>
    <n v="9"/>
    <s v="G Gambhir"/>
    <s v="Sawai Mansingh Stadium"/>
    <s v="Aleem Dar"/>
    <s v="SS Hazare"/>
    <m/>
  </r>
  <r>
    <n v="247"/>
    <x v="4"/>
    <s v="Mumbai"/>
    <s v="15-04-2011"/>
    <s v="Mumbai Indians"/>
    <s v="Kochi Tuskers Kerala"/>
    <x v="11"/>
    <x v="0"/>
    <s v="normal"/>
    <n v="0"/>
    <x v="12"/>
    <n v="0"/>
    <n v="8"/>
    <s v="BB McCullum"/>
    <s v="Wankhede Stadium"/>
    <s v="BR Doctrove"/>
    <s v="PR Reiffel"/>
    <m/>
  </r>
  <r>
    <n v="248"/>
    <x v="4"/>
    <s v="Chennai"/>
    <s v="16-04-2011"/>
    <s v="Chennai Super Kings"/>
    <s v="Royal Challengers Bangalore"/>
    <x v="8"/>
    <x v="1"/>
    <s v="normal"/>
    <n v="0"/>
    <x v="8"/>
    <n v="21"/>
    <n v="0"/>
    <s v="MEK Hussey"/>
    <s v="MA Chidambaram Stadium, Chepauk"/>
    <s v="HDPK Dharmasena"/>
    <s v="AL Hill"/>
    <m/>
  </r>
  <r>
    <n v="249"/>
    <x v="4"/>
    <s v="Hyderabad"/>
    <s v="16-04-2011"/>
    <s v="Deccan Chargers"/>
    <s v="Kings XI Punjab"/>
    <x v="3"/>
    <x v="0"/>
    <s v="normal"/>
    <n v="0"/>
    <x v="3"/>
    <n v="0"/>
    <n v="8"/>
    <s v="PC Valthaty"/>
    <s v="Rajiv Gandhi International Stadium, Uppal"/>
    <s v="RE Koertzen"/>
    <s v="S Ravi"/>
    <m/>
  </r>
  <r>
    <n v="250"/>
    <x v="4"/>
    <s v="Mumbai"/>
    <s v="17-04-2011"/>
    <s v="Pune Warriors"/>
    <s v="Delhi Daredevils"/>
    <x v="7"/>
    <x v="0"/>
    <s v="normal"/>
    <n v="0"/>
    <x v="6"/>
    <n v="0"/>
    <n v="3"/>
    <s v="Yuvraj Singh"/>
    <s v="Dr DY Patil Sports Academy"/>
    <s v="Asad Rauf"/>
    <s v="AM Saheba"/>
    <m/>
  </r>
  <r>
    <n v="251"/>
    <x v="4"/>
    <s v="Kolkata"/>
    <s v="17-04-2011"/>
    <s v="Rajasthan Royals"/>
    <s v="Kolkata Knight Riders"/>
    <x v="2"/>
    <x v="0"/>
    <s v="normal"/>
    <n v="0"/>
    <x v="2"/>
    <n v="0"/>
    <n v="8"/>
    <s v="L Balaji"/>
    <s v="Eden Gardens"/>
    <s v="Aleem Dar"/>
    <s v="RB Tiffin"/>
    <m/>
  </r>
  <r>
    <n v="252"/>
    <x v="4"/>
    <s v="Kochi"/>
    <s v="18-04-2011"/>
    <s v="Chennai Super Kings"/>
    <s v="Kochi Tuskers Kerala"/>
    <x v="11"/>
    <x v="0"/>
    <s v="normal"/>
    <n v="1"/>
    <x v="12"/>
    <n v="0"/>
    <n v="7"/>
    <s v="BB McCullum"/>
    <s v="Nehru Stadium"/>
    <s v="K Hariharan"/>
    <s v="AL Hill"/>
    <m/>
  </r>
  <r>
    <n v="253"/>
    <x v="4"/>
    <s v="Delhi"/>
    <s v="19-04-2011"/>
    <s v="Deccan Chargers"/>
    <s v="Delhi Daredevils"/>
    <x v="10"/>
    <x v="1"/>
    <s v="normal"/>
    <n v="0"/>
    <x v="10"/>
    <n v="16"/>
    <n v="0"/>
    <s v="S Sohal"/>
    <s v="Feroz Shah Kotla"/>
    <s v="PR Reiffel"/>
    <s v="RJ Tucker"/>
    <m/>
  </r>
  <r>
    <n v="254"/>
    <x v="4"/>
    <s v="Mumbai"/>
    <s v="20-04-2011"/>
    <s v="Pune Warriors"/>
    <s v="Mumbai Indians"/>
    <x v="12"/>
    <x v="1"/>
    <s v="normal"/>
    <n v="0"/>
    <x v="5"/>
    <n v="0"/>
    <n v="7"/>
    <s v="MM Patel"/>
    <s v="Wankhede Stadium"/>
    <s v="Asad Rauf"/>
    <s v="AM Saheba"/>
    <m/>
  </r>
  <r>
    <n v="255"/>
    <x v="4"/>
    <s v="Kolkata"/>
    <s v="20-04-2011"/>
    <s v="Kochi Tuskers Kerala"/>
    <s v="Kolkata Knight Riders"/>
    <x v="2"/>
    <x v="0"/>
    <s v="normal"/>
    <n v="0"/>
    <x v="12"/>
    <n v="6"/>
    <n v="0"/>
    <s v="DPMD Jayawardene"/>
    <s v="Eden Gardens"/>
    <s v="Aleem Dar"/>
    <s v="RB Tiffin"/>
    <m/>
  </r>
  <r>
    <n v="256"/>
    <x v="4"/>
    <s v="Chandigarh"/>
    <s v="21-04-2011"/>
    <s v="Kings XI Punjab"/>
    <s v="Rajasthan Royals"/>
    <x v="9"/>
    <x v="0"/>
    <s v="normal"/>
    <n v="0"/>
    <x v="3"/>
    <n v="48"/>
    <n v="0"/>
    <s v="SE Marsh"/>
    <s v="Punjab Cricket Association Stadium, Mohali"/>
    <s v="S Asnani"/>
    <s v="PR Reiffel"/>
    <m/>
  </r>
  <r>
    <n v="257"/>
    <x v="4"/>
    <s v="Mumbai"/>
    <s v="22-04-2011"/>
    <s v="Mumbai Indians"/>
    <s v="Chennai Super Kings"/>
    <x v="8"/>
    <x v="0"/>
    <s v="normal"/>
    <n v="0"/>
    <x v="5"/>
    <n v="8"/>
    <n v="0"/>
    <s v="Harbhajan Singh"/>
    <s v="Wankhede Stadium"/>
    <s v="Asad Rauf"/>
    <s v="AM Saheba"/>
    <m/>
  </r>
  <r>
    <n v="258"/>
    <x v="4"/>
    <s v="Kolkata"/>
    <s v="22-04-2011"/>
    <s v="Kolkata Knight Riders"/>
    <s v="Royal Challengers Bangalore"/>
    <x v="0"/>
    <x v="0"/>
    <s v="normal"/>
    <n v="0"/>
    <x v="4"/>
    <n v="0"/>
    <n v="9"/>
    <s v="CH Gayle"/>
    <s v="Eden Gardens"/>
    <s v="SS Hazare"/>
    <s v="RB Tiffin"/>
    <m/>
  </r>
  <r>
    <n v="259"/>
    <x v="4"/>
    <s v="Delhi"/>
    <s v="23-04-2011"/>
    <s v="Delhi Daredevils"/>
    <s v="Kings XI Punjab"/>
    <x v="3"/>
    <x v="0"/>
    <s v="normal"/>
    <n v="0"/>
    <x v="6"/>
    <n v="29"/>
    <n v="0"/>
    <s v="DA Warner"/>
    <s v="Feroz Shah Kotla"/>
    <s v="S Asnani"/>
    <s v="RE Koertzen"/>
    <m/>
  </r>
  <r>
    <n v="260"/>
    <x v="4"/>
    <s v="Hyderabad"/>
    <s v="24-04-2011"/>
    <s v="Mumbai Indians"/>
    <s v="Deccan Chargers"/>
    <x v="10"/>
    <x v="0"/>
    <s v="normal"/>
    <n v="0"/>
    <x v="5"/>
    <n v="37"/>
    <n v="0"/>
    <s v="SL Malinga"/>
    <s v="Rajiv Gandhi International Stadium, Uppal"/>
    <s v="HDPK Dharmasena"/>
    <s v="AL Hill"/>
    <m/>
  </r>
  <r>
    <n v="261"/>
    <x v="4"/>
    <s v="Jaipur"/>
    <s v="24-04-2011"/>
    <s v="Kochi Tuskers Kerala"/>
    <s v="Rajasthan Royals"/>
    <x v="9"/>
    <x v="0"/>
    <s v="normal"/>
    <n v="0"/>
    <x v="9"/>
    <n v="0"/>
    <n v="8"/>
    <s v="SK Warne"/>
    <s v="Sawai Mansingh Stadium"/>
    <s v="BR Doctrove"/>
    <s v="SK Tarapore"/>
    <m/>
  </r>
  <r>
    <n v="262"/>
    <x v="4"/>
    <s v="Chennai"/>
    <s v="25-04-2011"/>
    <s v="Chennai Super Kings"/>
    <s v="Pune Warriors"/>
    <x v="12"/>
    <x v="0"/>
    <s v="normal"/>
    <n v="0"/>
    <x v="8"/>
    <n v="25"/>
    <n v="0"/>
    <s v="MEK Hussey"/>
    <s v="MA Chidambaram Stadium, Chepauk"/>
    <s v="Aleem Dar"/>
    <s v="RB Tiffin"/>
    <m/>
  </r>
  <r>
    <n v="263"/>
    <x v="4"/>
    <s v="Delhi"/>
    <s v="26-04-2011"/>
    <s v="Delhi Daredevils"/>
    <s v="Royal Challengers Bangalore"/>
    <x v="0"/>
    <x v="0"/>
    <s v="normal"/>
    <n v="0"/>
    <x v="4"/>
    <n v="0"/>
    <n v="3"/>
    <s v="V Kohli"/>
    <s v="Feroz Shah Kotla"/>
    <s v="S Asnani"/>
    <s v="RJ Tucker"/>
    <m/>
  </r>
  <r>
    <n v="264"/>
    <x v="4"/>
    <s v="Mumbai"/>
    <s v="27-04-2011"/>
    <s v="Pune Warriors"/>
    <s v="Chennai Super Kings"/>
    <x v="12"/>
    <x v="1"/>
    <s v="normal"/>
    <n v="0"/>
    <x v="8"/>
    <n v="0"/>
    <n v="8"/>
    <s v="DE Bollinger"/>
    <s v="Dr DY Patil Sports Academy"/>
    <s v="Asad Rauf"/>
    <s v="SL Shastri"/>
    <m/>
  </r>
  <r>
    <n v="265"/>
    <x v="4"/>
    <s v="Kochi"/>
    <s v="27-04-2011"/>
    <s v="Deccan Chargers"/>
    <s v="Kochi Tuskers Kerala"/>
    <x v="11"/>
    <x v="0"/>
    <s v="normal"/>
    <n v="0"/>
    <x v="10"/>
    <n v="55"/>
    <n v="0"/>
    <s v="I Sharma"/>
    <s v="Nehru Stadium"/>
    <s v="HDPK Dharmasena"/>
    <s v="AL Hill"/>
    <m/>
  </r>
  <r>
    <n v="266"/>
    <x v="4"/>
    <s v="Delhi"/>
    <s v="28-04-2011"/>
    <s v="Kolkata Knight Riders"/>
    <s v="Delhi Daredevils"/>
    <x v="7"/>
    <x v="0"/>
    <s v="normal"/>
    <n v="0"/>
    <x v="2"/>
    <n v="17"/>
    <n v="0"/>
    <s v="MK Tiwary"/>
    <s v="Feroz Shah Kotla"/>
    <s v="PR Reiffel"/>
    <s v="RJ Tucker"/>
    <m/>
  </r>
  <r>
    <n v="267"/>
    <x v="4"/>
    <s v="Jaipur"/>
    <s v="29-04-2011"/>
    <s v="Mumbai Indians"/>
    <s v="Rajasthan Royals"/>
    <x v="9"/>
    <x v="0"/>
    <s v="normal"/>
    <n v="0"/>
    <x v="9"/>
    <n v="0"/>
    <n v="7"/>
    <s v="J Botha"/>
    <s v="Sawai Mansingh Stadium"/>
    <s v="Asad Rauf"/>
    <s v="SK Tarapore"/>
    <m/>
  </r>
  <r>
    <n v="268"/>
    <x v="4"/>
    <s v="Bangalore"/>
    <s v="29-04-2011"/>
    <s v="Royal Challengers Bangalore"/>
    <s v="Pune Warriors"/>
    <x v="12"/>
    <x v="0"/>
    <s v="normal"/>
    <n v="0"/>
    <x v="4"/>
    <n v="26"/>
    <n v="0"/>
    <s v="V Kohli"/>
    <s v="M Chinnaswamy Stadium"/>
    <s v="Aleem Dar"/>
    <s v="SS Hazare"/>
    <m/>
  </r>
  <r>
    <n v="269"/>
    <x v="4"/>
    <s v="Kochi"/>
    <s v="30-04-2011"/>
    <s v="Delhi Daredevils"/>
    <s v="Kochi Tuskers Kerala"/>
    <x v="7"/>
    <x v="1"/>
    <s v="normal"/>
    <n v="0"/>
    <x v="6"/>
    <n v="38"/>
    <n v="0"/>
    <s v="V Sehwag"/>
    <s v="Nehru Stadium"/>
    <s v="HDPK Dharmasena"/>
    <s v="AL Hill"/>
    <m/>
  </r>
  <r>
    <n v="270"/>
    <x v="4"/>
    <s v="Kolkata"/>
    <s v="30-04-2011"/>
    <s v="Kings XI Punjab"/>
    <s v="Kolkata Knight Riders"/>
    <x v="2"/>
    <x v="0"/>
    <s v="normal"/>
    <n v="0"/>
    <x v="2"/>
    <n v="0"/>
    <n v="8"/>
    <s v="Iqbal Abdulla"/>
    <s v="Eden Gardens"/>
    <s v="AM Saheba"/>
    <s v="SL Shastri"/>
    <m/>
  </r>
  <r>
    <n v="271"/>
    <x v="4"/>
    <s v="Jaipur"/>
    <d v="2011-01-05T00:00:00"/>
    <s v="Pune Warriors"/>
    <s v="Rajasthan Royals"/>
    <x v="9"/>
    <x v="0"/>
    <s v="normal"/>
    <n v="0"/>
    <x v="9"/>
    <n v="0"/>
    <n v="6"/>
    <s v="LRPL Taylor"/>
    <s v="Sawai Mansingh Stadium"/>
    <s v="SK Tarapore"/>
    <s v="SJA Taufel"/>
    <m/>
  </r>
  <r>
    <n v="272"/>
    <x v="4"/>
    <s v="Chennai"/>
    <d v="2011-01-05T00:00:00"/>
    <s v="Chennai Super Kings"/>
    <s v="Deccan Chargers"/>
    <x v="8"/>
    <x v="1"/>
    <s v="normal"/>
    <n v="0"/>
    <x v="8"/>
    <n v="19"/>
    <n v="0"/>
    <s v="JA Morkel"/>
    <s v="MA Chidambaram Stadium, Chepauk"/>
    <s v="Aleem Dar"/>
    <s v="RB Tiffin"/>
    <m/>
  </r>
  <r>
    <n v="273"/>
    <x v="4"/>
    <s v="Mumbai"/>
    <d v="2011-02-05T00:00:00"/>
    <s v="Mumbai Indians"/>
    <s v="Kings XI Punjab"/>
    <x v="3"/>
    <x v="0"/>
    <s v="normal"/>
    <n v="0"/>
    <x v="5"/>
    <n v="23"/>
    <n v="0"/>
    <s v="KA Pollard"/>
    <s v="Wankhede Stadium"/>
    <s v="HDPK Dharmasena"/>
    <s v="PR Reiffel"/>
    <m/>
  </r>
  <r>
    <n v="274"/>
    <x v="4"/>
    <s v="Delhi"/>
    <d v="2011-02-05T00:00:00"/>
    <s v="Delhi Daredevils"/>
    <s v="Kochi Tuskers Kerala"/>
    <x v="11"/>
    <x v="0"/>
    <s v="normal"/>
    <n v="0"/>
    <x v="12"/>
    <n v="0"/>
    <n v="7"/>
    <s v="P Parameswaran"/>
    <s v="Feroz Shah Kotla"/>
    <s v="Asad Rauf"/>
    <s v="SL Shastri"/>
    <m/>
  </r>
  <r>
    <n v="275"/>
    <x v="4"/>
    <s v="Hyderabad"/>
    <d v="2011-03-05T00:00:00"/>
    <s v="Kolkata Knight Riders"/>
    <s v="Deccan Chargers"/>
    <x v="10"/>
    <x v="0"/>
    <s v="normal"/>
    <n v="0"/>
    <x v="2"/>
    <n v="20"/>
    <n v="0"/>
    <s v="YK Pathan"/>
    <s v="Rajiv Gandhi International Stadium, Uppal"/>
    <s v="S Asnani"/>
    <s v="RJ Tucker"/>
    <m/>
  </r>
  <r>
    <n v="276"/>
    <x v="4"/>
    <s v="Chennai"/>
    <d v="2011-04-05T00:00:00"/>
    <s v="Rajasthan Royals"/>
    <s v="Chennai Super Kings"/>
    <x v="9"/>
    <x v="1"/>
    <s v="normal"/>
    <n v="0"/>
    <x v="8"/>
    <n v="0"/>
    <n v="8"/>
    <s v="MEK Hussey"/>
    <s v="MA Chidambaram Stadium, Chepauk"/>
    <s v="SS Hazare"/>
    <s v="RB Tiffin"/>
    <m/>
  </r>
  <r>
    <n v="277"/>
    <x v="4"/>
    <s v="Mumbai"/>
    <d v="2011-04-05T00:00:00"/>
    <s v="Mumbai Indians"/>
    <s v="Pune Warriors"/>
    <x v="12"/>
    <x v="0"/>
    <s v="normal"/>
    <n v="0"/>
    <x v="5"/>
    <n v="21"/>
    <n v="0"/>
    <s v="R Sharma"/>
    <s v="Dr DY Patil Sports Academy"/>
    <s v="HDPK Dharmasena"/>
    <s v="SJA Taufel"/>
    <m/>
  </r>
  <r>
    <n v="278"/>
    <x v="4"/>
    <s v="Kochi"/>
    <d v="2011-05-05T00:00:00"/>
    <s v="Kochi Tuskers Kerala"/>
    <s v="Kolkata Knight Riders"/>
    <x v="2"/>
    <x v="0"/>
    <s v="normal"/>
    <n v="0"/>
    <x v="12"/>
    <n v="17"/>
    <n v="0"/>
    <s v="BJ Hodge"/>
    <s v="Nehru Stadium"/>
    <s v="S Ravi"/>
    <s v="RJ Tucker"/>
    <m/>
  </r>
  <r>
    <n v="279"/>
    <x v="4"/>
    <s v="Hyderabad"/>
    <d v="2011-05-05T00:00:00"/>
    <s v="Deccan Chargers"/>
    <s v="Delhi Daredevils"/>
    <x v="7"/>
    <x v="0"/>
    <s v="normal"/>
    <n v="0"/>
    <x v="6"/>
    <n v="0"/>
    <n v="4"/>
    <s v="V Sehwag"/>
    <s v="Rajiv Gandhi International Stadium, Uppal"/>
    <s v="Asad Rauf"/>
    <s v="AM Saheba"/>
    <m/>
  </r>
  <r>
    <n v="280"/>
    <x v="4"/>
    <s v="Bangalore"/>
    <d v="2011-06-05T00:00:00"/>
    <s v="Royal Challengers Bangalore"/>
    <s v="Kings XI Punjab"/>
    <x v="3"/>
    <x v="0"/>
    <s v="normal"/>
    <n v="0"/>
    <x v="4"/>
    <n v="85"/>
    <n v="0"/>
    <s v="CH Gayle"/>
    <s v="M Chinnaswamy Stadium"/>
    <s v="Aleem Dar"/>
    <s v="RB Tiffin"/>
    <m/>
  </r>
  <r>
    <n v="281"/>
    <x v="4"/>
    <s v="Kolkata"/>
    <d v="2011-07-05T00:00:00"/>
    <s v="Chennai Super Kings"/>
    <s v="Kolkata Knight Riders"/>
    <x v="8"/>
    <x v="1"/>
    <s v="normal"/>
    <n v="1"/>
    <x v="2"/>
    <n v="10"/>
    <n v="0"/>
    <s v="Iqbal Abdulla"/>
    <s v="Eden Gardens"/>
    <s v="Asad Rauf"/>
    <s v="PR Reiffel"/>
    <m/>
  </r>
  <r>
    <n v="282"/>
    <x v="4"/>
    <s v="Mumbai"/>
    <d v="2011-07-05T00:00:00"/>
    <s v="Mumbai Indians"/>
    <s v="Delhi Daredevils"/>
    <x v="7"/>
    <x v="0"/>
    <s v="normal"/>
    <n v="0"/>
    <x v="5"/>
    <n v="32"/>
    <n v="0"/>
    <s v="AT Rayudu"/>
    <s v="Wankhede Stadium"/>
    <s v="K Hariharan"/>
    <s v="SJA Taufel"/>
    <m/>
  </r>
  <r>
    <n v="283"/>
    <x v="4"/>
    <s v="Bangalore"/>
    <d v="2011-08-05T00:00:00"/>
    <s v="Kochi Tuskers Kerala"/>
    <s v="Royal Challengers Bangalore"/>
    <x v="11"/>
    <x v="1"/>
    <s v="normal"/>
    <n v="0"/>
    <x v="4"/>
    <n v="0"/>
    <n v="9"/>
    <s v="CH Gayle"/>
    <s v="M Chinnaswamy Stadium"/>
    <s v="Aleem Dar"/>
    <s v="SS Hazare"/>
    <m/>
  </r>
  <r>
    <n v="284"/>
    <x v="4"/>
    <s v="Chandigarh"/>
    <d v="2011-08-05T00:00:00"/>
    <s v="Kings XI Punjab"/>
    <s v="Pune Warriors"/>
    <x v="3"/>
    <x v="1"/>
    <s v="normal"/>
    <n v="0"/>
    <x v="11"/>
    <n v="0"/>
    <n v="5"/>
    <s v="R Sharma"/>
    <s v="Punjab Cricket Association Stadium, Mohali"/>
    <s v="SK Tarapore"/>
    <s v="RJ Tucker"/>
    <m/>
  </r>
  <r>
    <n v="285"/>
    <x v="4"/>
    <s v="Jaipur"/>
    <d v="2011-09-05T00:00:00"/>
    <s v="Chennai Super Kings"/>
    <s v="Rajasthan Royals"/>
    <x v="9"/>
    <x v="0"/>
    <s v="normal"/>
    <n v="0"/>
    <x v="8"/>
    <n v="63"/>
    <n v="0"/>
    <s v="M Vijay"/>
    <s v="Sawai Mansingh Stadium"/>
    <s v="K Hariharan"/>
    <s v="SJA Taufel"/>
    <m/>
  </r>
  <r>
    <n v="286"/>
    <x v="4"/>
    <s v="Hyderabad"/>
    <d v="2011-10-05T00:00:00"/>
    <s v="Deccan Chargers"/>
    <s v="Pune Warriors"/>
    <x v="10"/>
    <x v="1"/>
    <s v="normal"/>
    <n v="0"/>
    <x v="11"/>
    <n v="0"/>
    <n v="6"/>
    <s v="MR Marsh"/>
    <s v="Rajiv Gandhi International Stadium, Uppal"/>
    <s v="Asad Rauf"/>
    <s v="AM Saheba"/>
    <m/>
  </r>
  <r>
    <n v="287"/>
    <x v="4"/>
    <s v="Chandigarh"/>
    <d v="2011-10-05T00:00:00"/>
    <s v="Kings XI Punjab"/>
    <s v="Mumbai Indians"/>
    <x v="5"/>
    <x v="0"/>
    <s v="normal"/>
    <n v="0"/>
    <x v="3"/>
    <n v="76"/>
    <n v="0"/>
    <s v="BA Bhatt"/>
    <s v="Punjab Cricket Association Stadium, Mohali"/>
    <s v="SK Tarapore"/>
    <s v="RJ Tucker"/>
    <m/>
  </r>
  <r>
    <n v="288"/>
    <x v="4"/>
    <s v="Jaipur"/>
    <d v="2011-11-05T00:00:00"/>
    <s v="Rajasthan Royals"/>
    <s v="Royal Challengers Bangalore"/>
    <x v="0"/>
    <x v="0"/>
    <s v="normal"/>
    <n v="0"/>
    <x v="4"/>
    <n v="0"/>
    <n v="9"/>
    <s v="S Aravind"/>
    <s v="Sawai Mansingh Stadium"/>
    <s v="HDPK Dharmasena"/>
    <s v="K Hariharan"/>
    <m/>
  </r>
  <r>
    <n v="289"/>
    <x v="4"/>
    <s v="Chennai"/>
    <d v="2011-12-05T00:00:00"/>
    <s v="Chennai Super Kings"/>
    <s v="Delhi Daredevils"/>
    <x v="8"/>
    <x v="1"/>
    <s v="normal"/>
    <n v="0"/>
    <x v="8"/>
    <n v="18"/>
    <n v="0"/>
    <s v="MS Dhoni"/>
    <s v="MA Chidambaram Stadium, Chepauk"/>
    <s v="AM Saheba"/>
    <s v="SL Shastri"/>
    <m/>
  </r>
  <r>
    <n v="290"/>
    <x v="4"/>
    <s v="Indore"/>
    <s v="13-05-2011"/>
    <s v="Kochi Tuskers Kerala"/>
    <s v="Kings XI Punjab"/>
    <x v="3"/>
    <x v="0"/>
    <s v="normal"/>
    <n v="0"/>
    <x v="3"/>
    <n v="0"/>
    <n v="6"/>
    <s v="KD Karthik"/>
    <s v="Holkar Cricket Stadium"/>
    <s v="S Asnani"/>
    <s v="RJ Tucker"/>
    <m/>
  </r>
  <r>
    <n v="291"/>
    <x v="4"/>
    <s v="Bangalore"/>
    <s v="14-05-2011"/>
    <s v="Kolkata Knight Riders"/>
    <s v="Royal Challengers Bangalore"/>
    <x v="0"/>
    <x v="0"/>
    <s v="normal"/>
    <n v="1"/>
    <x v="4"/>
    <n v="0"/>
    <n v="4"/>
    <s v="CH Gayle"/>
    <s v="M Chinnaswamy Stadium"/>
    <s v="RE Koertzen"/>
    <s v="RB Tiffin"/>
    <m/>
  </r>
  <r>
    <n v="292"/>
    <x v="4"/>
    <s v="Mumbai"/>
    <s v="14-05-2011"/>
    <s v="Deccan Chargers"/>
    <s v="Mumbai Indians"/>
    <x v="10"/>
    <x v="1"/>
    <s v="normal"/>
    <n v="0"/>
    <x v="10"/>
    <n v="10"/>
    <n v="0"/>
    <s v="A Mishra"/>
    <s v="Wankhede Stadium"/>
    <s v="S Ravi"/>
    <s v="SK Tarapore"/>
    <m/>
  </r>
  <r>
    <n v="293"/>
    <x v="4"/>
    <s v="Dharamsala"/>
    <s v="15-05-2011"/>
    <s v="Kings XI Punjab"/>
    <s v="Delhi Daredevils"/>
    <x v="7"/>
    <x v="0"/>
    <s v="normal"/>
    <n v="0"/>
    <x v="3"/>
    <n v="29"/>
    <n v="0"/>
    <s v="PP Chawla"/>
    <s v="Himachal Pradesh Cricket Association Stadium"/>
    <s v="Asad Rauf"/>
    <s v="SL Shastri"/>
    <m/>
  </r>
  <r>
    <n v="294"/>
    <x v="4"/>
    <s v="Indore"/>
    <s v="15-05-2011"/>
    <s v="Rajasthan Royals"/>
    <s v="Kochi Tuskers Kerala"/>
    <x v="11"/>
    <x v="0"/>
    <s v="normal"/>
    <n v="0"/>
    <x v="12"/>
    <n v="0"/>
    <n v="8"/>
    <s v="BJ Hodge"/>
    <s v="Holkar Cricket Stadium"/>
    <s v="PR Reiffel"/>
    <s v="RJ Tucker"/>
    <m/>
  </r>
  <r>
    <n v="295"/>
    <x v="4"/>
    <s v="Mumbai"/>
    <s v="16-05-2011"/>
    <s v="Pune Warriors"/>
    <s v="Deccan Chargers"/>
    <x v="10"/>
    <x v="0"/>
    <s v="normal"/>
    <n v="0"/>
    <x v="10"/>
    <n v="0"/>
    <n v="6"/>
    <s v="A Mishra"/>
    <s v="Dr DY Patil Sports Academy"/>
    <s v="S Ravi"/>
    <s v="SK Tarapore"/>
    <m/>
  </r>
  <r>
    <n v="296"/>
    <x v="4"/>
    <s v="Dharamsala"/>
    <s v="17-05-2011"/>
    <s v="Kings XI Punjab"/>
    <s v="Royal Challengers Bangalore"/>
    <x v="3"/>
    <x v="1"/>
    <s v="normal"/>
    <n v="0"/>
    <x v="3"/>
    <n v="111"/>
    <n v="0"/>
    <s v="AC Gilchrist"/>
    <s v="Himachal Pradesh Cricket Association Stadium"/>
    <s v="Asad Rauf"/>
    <s v="AM Saheba"/>
    <m/>
  </r>
  <r>
    <n v="297"/>
    <x v="4"/>
    <s v="Chennai"/>
    <s v="18-05-2011"/>
    <s v="Chennai Super Kings"/>
    <s v="Kochi Tuskers Kerala"/>
    <x v="8"/>
    <x v="1"/>
    <s v="normal"/>
    <n v="0"/>
    <x v="8"/>
    <n v="11"/>
    <n v="0"/>
    <s v="WP Saha"/>
    <s v="MA Chidambaram Stadium, Chepauk"/>
    <s v="HDPK Dharmasena"/>
    <s v="RE Koertzen"/>
    <m/>
  </r>
  <r>
    <n v="298"/>
    <x v="4"/>
    <s v="Mumbai"/>
    <s v="19-05-2011"/>
    <s v="Pune Warriors"/>
    <s v="Kolkata Knight Riders"/>
    <x v="2"/>
    <x v="0"/>
    <s v="normal"/>
    <n v="0"/>
    <x v="2"/>
    <n v="0"/>
    <n v="7"/>
    <s v="YK Pathan"/>
    <s v="Dr DY Patil Sports Academy"/>
    <s v="S Ravi"/>
    <s v="SJA Taufel"/>
    <m/>
  </r>
  <r>
    <n v="299"/>
    <x v="4"/>
    <s v="Mumbai"/>
    <s v="20-05-2011"/>
    <s v="Mumbai Indians"/>
    <s v="Rajasthan Royals"/>
    <x v="5"/>
    <x v="1"/>
    <s v="normal"/>
    <n v="0"/>
    <x v="9"/>
    <n v="0"/>
    <n v="10"/>
    <s v="SR Watson"/>
    <s v="Wankhede Stadium"/>
    <s v="RE Koertzen"/>
    <s v="PR Reiffel"/>
    <m/>
  </r>
  <r>
    <n v="300"/>
    <x v="4"/>
    <s v="Dharamsala"/>
    <s v="21-05-2011"/>
    <s v="Deccan Chargers"/>
    <s v="Kings XI Punjab"/>
    <x v="3"/>
    <x v="0"/>
    <s v="normal"/>
    <n v="0"/>
    <x v="10"/>
    <n v="82"/>
    <n v="0"/>
    <s v="S Dhawan"/>
    <s v="Himachal Pradesh Cricket Association Stadium"/>
    <s v="Asad Rauf"/>
    <s v="AM Saheba"/>
    <m/>
  </r>
  <r>
    <n v="301"/>
    <x v="4"/>
    <s v="Delhi"/>
    <s v="21-05-2011"/>
    <s v="Delhi Daredevils"/>
    <s v="Pune Warriors"/>
    <x v="7"/>
    <x v="1"/>
    <s v="no result"/>
    <n v="0"/>
    <x v="13"/>
    <n v="0"/>
    <n v="0"/>
    <m/>
    <s v="Feroz Shah Kotla"/>
    <s v="SS Hazare"/>
    <s v="RJ Tucker"/>
    <m/>
  </r>
  <r>
    <n v="302"/>
    <x v="4"/>
    <s v="Bangalore"/>
    <s v="22-05-2011"/>
    <s v="Chennai Super Kings"/>
    <s v="Royal Challengers Bangalore"/>
    <x v="0"/>
    <x v="0"/>
    <s v="normal"/>
    <n v="0"/>
    <x v="4"/>
    <n v="0"/>
    <n v="8"/>
    <s v="CH Gayle"/>
    <s v="M Chinnaswamy Stadium"/>
    <s v="K Hariharan"/>
    <s v="RE Koertzen"/>
    <m/>
  </r>
  <r>
    <n v="303"/>
    <x v="4"/>
    <s v="Kolkata"/>
    <s v="22-05-2011"/>
    <s v="Kolkata Knight Riders"/>
    <s v="Mumbai Indians"/>
    <x v="5"/>
    <x v="0"/>
    <s v="normal"/>
    <n v="0"/>
    <x v="5"/>
    <n v="0"/>
    <n v="5"/>
    <s v="JEC Franklin"/>
    <s v="Eden Gardens"/>
    <s v="SK Tarapore"/>
    <s v="SJA Taufel"/>
    <m/>
  </r>
  <r>
    <n v="304"/>
    <x v="4"/>
    <s v="Mumbai"/>
    <s v="24-05-2011"/>
    <s v="Royal Challengers Bangalore"/>
    <s v="Chennai Super Kings"/>
    <x v="8"/>
    <x v="0"/>
    <s v="normal"/>
    <n v="0"/>
    <x v="8"/>
    <n v="0"/>
    <n v="6"/>
    <s v="SK Raina"/>
    <s v="Wankhede Stadium"/>
    <s v="Asad Rauf"/>
    <s v="SJA Taufel"/>
    <m/>
  </r>
  <r>
    <n v="305"/>
    <x v="4"/>
    <s v="Mumbai"/>
    <s v="25-05-2011"/>
    <s v="Kolkata Knight Riders"/>
    <s v="Mumbai Indians"/>
    <x v="5"/>
    <x v="0"/>
    <s v="normal"/>
    <n v="0"/>
    <x v="5"/>
    <n v="0"/>
    <n v="4"/>
    <s v="MM Patel"/>
    <s v="Wankhede Stadium"/>
    <s v="Asad Rauf"/>
    <s v="SJA Taufel"/>
    <m/>
  </r>
  <r>
    <n v="306"/>
    <x v="4"/>
    <s v="Chennai"/>
    <s v="27-05-2011"/>
    <s v="Royal Challengers Bangalore"/>
    <s v="Mumbai Indians"/>
    <x v="5"/>
    <x v="0"/>
    <s v="normal"/>
    <n v="0"/>
    <x v="4"/>
    <n v="43"/>
    <n v="0"/>
    <s v="CH Gayle"/>
    <s v="MA Chidambaram Stadium, Chepauk"/>
    <s v="Asad Rauf"/>
    <s v="SJA Taufel"/>
    <m/>
  </r>
  <r>
    <n v="307"/>
    <x v="4"/>
    <s v="Chennai"/>
    <s v="28-05-2011"/>
    <s v="Chennai Super Kings"/>
    <s v="Royal Challengers Bangalore"/>
    <x v="8"/>
    <x v="1"/>
    <s v="normal"/>
    <n v="0"/>
    <x v="8"/>
    <n v="58"/>
    <n v="0"/>
    <s v="M Vijay"/>
    <s v="MA Chidambaram Stadium, Chepauk"/>
    <s v="Asad Rauf"/>
    <s v="SJA Taufel"/>
    <m/>
  </r>
  <r>
    <n v="308"/>
    <x v="5"/>
    <s v="Chennai"/>
    <d v="2012-04-04T00:00:00"/>
    <s v="Chennai Super Kings"/>
    <s v="Mumbai Indians"/>
    <x v="5"/>
    <x v="0"/>
    <s v="normal"/>
    <n v="0"/>
    <x v="5"/>
    <n v="0"/>
    <n v="8"/>
    <s v="RE Levi"/>
    <s v="MA Chidambaram Stadium, Chepauk"/>
    <s v="JD Cloete"/>
    <s v="SJA Taufel"/>
    <m/>
  </r>
  <r>
    <n v="309"/>
    <x v="5"/>
    <s v="Kolkata"/>
    <d v="2012-05-04T00:00:00"/>
    <s v="Kolkata Knight Riders"/>
    <s v="Delhi Daredevils"/>
    <x v="7"/>
    <x v="0"/>
    <s v="normal"/>
    <n v="0"/>
    <x v="6"/>
    <n v="0"/>
    <n v="8"/>
    <s v="IK Pathan"/>
    <s v="Eden Gardens"/>
    <s v="S Asnani"/>
    <s v="HDPK Dharmasena"/>
    <m/>
  </r>
  <r>
    <n v="310"/>
    <x v="5"/>
    <s v="Mumbai"/>
    <d v="2012-06-04T00:00:00"/>
    <s v="Pune Warriors"/>
    <s v="Mumbai Indians"/>
    <x v="5"/>
    <x v="0"/>
    <s v="normal"/>
    <n v="0"/>
    <x v="11"/>
    <n v="28"/>
    <n v="0"/>
    <s v="SPD Smith"/>
    <s v="Wankhede Stadium"/>
    <s v="AK Chaudhary"/>
    <s v="SJA Taufel"/>
    <m/>
  </r>
  <r>
    <n v="311"/>
    <x v="5"/>
    <s v="Jaipur"/>
    <d v="2012-06-04T00:00:00"/>
    <s v="Rajasthan Royals"/>
    <s v="Kings XI Punjab"/>
    <x v="3"/>
    <x v="0"/>
    <s v="normal"/>
    <n v="0"/>
    <x v="9"/>
    <n v="31"/>
    <n v="0"/>
    <s v="AM Rahane"/>
    <s v="Sawai Mansingh Stadium"/>
    <s v="BF Bowden"/>
    <s v="SK Tarapore"/>
    <m/>
  </r>
  <r>
    <n v="312"/>
    <x v="5"/>
    <s v="Bangalore"/>
    <d v="2012-07-04T00:00:00"/>
    <s v="Royal Challengers Bangalore"/>
    <s v="Delhi Daredevils"/>
    <x v="7"/>
    <x v="0"/>
    <s v="normal"/>
    <n v="0"/>
    <x v="4"/>
    <n v="20"/>
    <n v="0"/>
    <s v="AB de Villiers"/>
    <s v="M Chinnaswamy Stadium"/>
    <s v="S Asnani"/>
    <s v="S Ravi"/>
    <m/>
  </r>
  <r>
    <n v="313"/>
    <x v="5"/>
    <s v="Visakhapatnam"/>
    <d v="2012-07-04T00:00:00"/>
    <s v="Chennai Super Kings"/>
    <s v="Deccan Chargers"/>
    <x v="10"/>
    <x v="0"/>
    <s v="normal"/>
    <n v="0"/>
    <x v="8"/>
    <n v="74"/>
    <n v="0"/>
    <s v="RA Jadeja"/>
    <s v="Dr. Y.S. Rajasekhara Reddy ACA-VDCA Cricket Stadium"/>
    <s v="JD Cloete"/>
    <s v="HDPK Dharmasena"/>
    <m/>
  </r>
  <r>
    <n v="314"/>
    <x v="5"/>
    <s v="Jaipur"/>
    <d v="2012-08-04T00:00:00"/>
    <s v="Rajasthan Royals"/>
    <s v="Kolkata Knight Riders"/>
    <x v="2"/>
    <x v="0"/>
    <s v="normal"/>
    <n v="0"/>
    <x v="9"/>
    <n v="22"/>
    <n v="0"/>
    <s v="BJ Hodge"/>
    <s v="Sawai Mansingh Stadium"/>
    <s v="BF Bowden"/>
    <s v="VA Kulkarni"/>
    <m/>
  </r>
  <r>
    <n v="315"/>
    <x v="5"/>
    <s v="Pune"/>
    <d v="2012-08-04T00:00:00"/>
    <s v="Pune Warriors"/>
    <s v="Kings XI Punjab"/>
    <x v="12"/>
    <x v="1"/>
    <s v="normal"/>
    <n v="0"/>
    <x v="11"/>
    <n v="22"/>
    <n v="0"/>
    <s v="MN Samuels"/>
    <s v="Subrata Roy Sahara Stadium"/>
    <s v="S Das"/>
    <s v="SJA Taufel"/>
    <m/>
  </r>
  <r>
    <n v="316"/>
    <x v="5"/>
    <s v="Visakhapatnam"/>
    <d v="2012-09-04T00:00:00"/>
    <s v="Deccan Chargers"/>
    <s v="Mumbai Indians"/>
    <x v="10"/>
    <x v="1"/>
    <s v="normal"/>
    <n v="0"/>
    <x v="5"/>
    <n v="0"/>
    <n v="5"/>
    <s v="RG Sharma"/>
    <s v="Dr. Y.S. Rajasekhara Reddy ACA-VDCA Cricket Stadium"/>
    <s v="AK Chaudhary"/>
    <s v="JD Cloete"/>
    <m/>
  </r>
  <r>
    <n v="317"/>
    <x v="5"/>
    <s v="Bangalore"/>
    <d v="2012-10-04T00:00:00"/>
    <s v="Kolkata Knight Riders"/>
    <s v="Royal Challengers Bangalore"/>
    <x v="0"/>
    <x v="0"/>
    <s v="normal"/>
    <n v="0"/>
    <x v="2"/>
    <n v="42"/>
    <n v="0"/>
    <s v="L Balaji"/>
    <s v="M Chinnaswamy Stadium"/>
    <s v="S Ravi"/>
    <s v="RJ Tucker"/>
    <m/>
  </r>
  <r>
    <n v="318"/>
    <x v="5"/>
    <s v="Delhi"/>
    <d v="2012-10-04T00:00:00"/>
    <s v="Chennai Super Kings"/>
    <s v="Delhi Daredevils"/>
    <x v="7"/>
    <x v="0"/>
    <s v="normal"/>
    <n v="0"/>
    <x v="6"/>
    <n v="0"/>
    <n v="8"/>
    <s v="M Morkel"/>
    <s v="Feroz Shah Kotla"/>
    <s v="Asad Rauf"/>
    <s v="SK Tarapore"/>
    <m/>
  </r>
  <r>
    <n v="319"/>
    <x v="5"/>
    <s v="Mumbai"/>
    <d v="2012-11-04T00:00:00"/>
    <s v="Mumbai Indians"/>
    <s v="Rajasthan Royals"/>
    <x v="9"/>
    <x v="0"/>
    <s v="normal"/>
    <n v="0"/>
    <x v="5"/>
    <n v="27"/>
    <n v="0"/>
    <s v="KA Pollard"/>
    <s v="Wankhede Stadium"/>
    <s v="Aleem Dar"/>
    <s v="BNJ Oxenford"/>
    <m/>
  </r>
  <r>
    <n v="320"/>
    <x v="5"/>
    <s v="Chennai"/>
    <d v="2012-12-04T00:00:00"/>
    <s v="Royal Challengers Bangalore"/>
    <s v="Chennai Super Kings"/>
    <x v="0"/>
    <x v="1"/>
    <s v="normal"/>
    <n v="0"/>
    <x v="8"/>
    <n v="0"/>
    <n v="5"/>
    <s v="F du Plessis"/>
    <s v="MA Chidambaram Stadium, Chepauk"/>
    <s v="HDPK Dharmasena"/>
    <s v="RJ Tucker"/>
    <m/>
  </r>
  <r>
    <n v="321"/>
    <x v="5"/>
    <s v="Chandigarh"/>
    <d v="2012-12-04T00:00:00"/>
    <s v="Pune Warriors"/>
    <s v="Kings XI Punjab"/>
    <x v="3"/>
    <x v="0"/>
    <s v="normal"/>
    <n v="0"/>
    <x v="3"/>
    <n v="0"/>
    <n v="7"/>
    <s v="AD Mascarenhas"/>
    <s v="Punjab Cricket Association Stadium, Mohali"/>
    <s v="VA Kulkarni"/>
    <s v="SK Tarapore"/>
    <m/>
  </r>
  <r>
    <n v="322"/>
    <x v="5"/>
    <s v="Kolkata"/>
    <s v="13-04-2012"/>
    <s v="Rajasthan Royals"/>
    <s v="Kolkata Knight Riders"/>
    <x v="9"/>
    <x v="1"/>
    <s v="normal"/>
    <n v="0"/>
    <x v="2"/>
    <n v="0"/>
    <n v="5"/>
    <s v="Shakib Al Hasan"/>
    <s v="Eden Gardens"/>
    <s v="Asad Rauf"/>
    <s v="S Asnani"/>
    <m/>
  </r>
  <r>
    <n v="323"/>
    <x v="5"/>
    <s v="Delhi"/>
    <s v="19-04-2012"/>
    <s v="Deccan Chargers"/>
    <s v="Delhi Daredevils"/>
    <x v="10"/>
    <x v="1"/>
    <s v="normal"/>
    <n v="0"/>
    <x v="6"/>
    <n v="0"/>
    <n v="5"/>
    <s v="KP Pietersen"/>
    <s v="Feroz Shah Kotla"/>
    <s v="BF Bowden"/>
    <s v="SK Tarapore"/>
    <m/>
  </r>
  <r>
    <n v="324"/>
    <x v="5"/>
    <s v="Pune"/>
    <s v="14-04-2012"/>
    <s v="Chennai Super Kings"/>
    <s v="Pune Warriors"/>
    <x v="8"/>
    <x v="1"/>
    <s v="normal"/>
    <n v="0"/>
    <x v="11"/>
    <n v="0"/>
    <n v="7"/>
    <s v="JD Ryder"/>
    <s v="Subrata Roy Sahara Stadium"/>
    <s v="Aleem Dar"/>
    <s v="BNJ Oxenford"/>
    <m/>
  </r>
  <r>
    <n v="325"/>
    <x v="5"/>
    <s v="Kolkata"/>
    <s v="15-04-2012"/>
    <s v="Kings XI Punjab"/>
    <s v="Kolkata Knight Riders"/>
    <x v="2"/>
    <x v="0"/>
    <s v="normal"/>
    <n v="0"/>
    <x v="3"/>
    <n v="2"/>
    <n v="0"/>
    <s v="SP Narine"/>
    <s v="Eden Gardens"/>
    <s v="Asad Rauf"/>
    <s v="S Asnani"/>
    <m/>
  </r>
  <r>
    <n v="326"/>
    <x v="5"/>
    <s v="Bangalore"/>
    <s v="15-04-2012"/>
    <s v="Rajasthan Royals"/>
    <s v="Royal Challengers Bangalore"/>
    <x v="9"/>
    <x v="1"/>
    <s v="normal"/>
    <n v="0"/>
    <x v="9"/>
    <n v="59"/>
    <n v="0"/>
    <s v="AM Rahane"/>
    <s v="M Chinnaswamy Stadium"/>
    <s v="JD Cloete"/>
    <s v="RJ Tucker"/>
    <m/>
  </r>
  <r>
    <n v="327"/>
    <x v="5"/>
    <s v="Mumbai"/>
    <s v="16-04-2012"/>
    <s v="Mumbai Indians"/>
    <s v="Delhi Daredevils"/>
    <x v="7"/>
    <x v="0"/>
    <s v="normal"/>
    <n v="0"/>
    <x v="6"/>
    <n v="0"/>
    <n v="7"/>
    <s v="S Nadeem"/>
    <s v="Wankhede Stadium"/>
    <s v="BF Bowden"/>
    <s v="SK Tarapore"/>
    <m/>
  </r>
  <r>
    <n v="328"/>
    <x v="5"/>
    <s v="Jaipur"/>
    <s v="17-04-2012"/>
    <s v="Deccan Chargers"/>
    <s v="Rajasthan Royals"/>
    <x v="10"/>
    <x v="1"/>
    <s v="normal"/>
    <n v="0"/>
    <x v="9"/>
    <n v="0"/>
    <n v="5"/>
    <s v="BJ Hodge"/>
    <s v="Sawai Mansingh Stadium"/>
    <s v="Aleem Dar"/>
    <s v="BNJ Oxenford"/>
    <m/>
  </r>
  <r>
    <n v="329"/>
    <x v="5"/>
    <s v="Bangalore"/>
    <s v="17-04-2012"/>
    <s v="Pune Warriors"/>
    <s v="Royal Challengers Bangalore"/>
    <x v="12"/>
    <x v="1"/>
    <s v="normal"/>
    <n v="0"/>
    <x v="4"/>
    <n v="0"/>
    <n v="6"/>
    <s v="CH Gayle"/>
    <s v="M Chinnaswamy Stadium"/>
    <s v="S Asnani"/>
    <s v="S Das"/>
    <m/>
  </r>
  <r>
    <n v="330"/>
    <x v="5"/>
    <s v="Chandigarh"/>
    <s v="18-04-2012"/>
    <s v="Kings XI Punjab"/>
    <s v="Kolkata Knight Riders"/>
    <x v="3"/>
    <x v="1"/>
    <s v="normal"/>
    <n v="0"/>
    <x v="2"/>
    <n v="0"/>
    <n v="8"/>
    <s v="G Gambhir"/>
    <s v="Punjab Cricket Association Stadium, Mohali"/>
    <s v="JD Cloete"/>
    <s v="RJ Tucker"/>
    <m/>
  </r>
  <r>
    <n v="331"/>
    <x v="5"/>
    <s v="Hyderabad"/>
    <d v="2012-10-05T00:00:00"/>
    <s v="Deccan Chargers"/>
    <s v="Delhi Daredevils"/>
    <x v="10"/>
    <x v="1"/>
    <s v="normal"/>
    <n v="0"/>
    <x v="6"/>
    <n v="0"/>
    <n v="9"/>
    <s v="DA Warner"/>
    <s v="Rajiv Gandhi International Stadium, Uppal"/>
    <s v="JD Cloete"/>
    <s v="SJA Taufel"/>
    <m/>
  </r>
  <r>
    <n v="332"/>
    <x v="5"/>
    <s v="Chennai"/>
    <s v="19-04-2012"/>
    <s v="Chennai Super Kings"/>
    <s v="Pune Warriors"/>
    <x v="12"/>
    <x v="0"/>
    <s v="normal"/>
    <n v="0"/>
    <x v="8"/>
    <n v="13"/>
    <n v="0"/>
    <s v="KMDN Kulasekara"/>
    <s v="MA Chidambaram Stadium, Chepauk"/>
    <s v="Asad Rauf"/>
    <s v="S Das"/>
    <m/>
  </r>
  <r>
    <n v="333"/>
    <x v="5"/>
    <s v="Chandigarh"/>
    <s v="20-04-2012"/>
    <s v="Kings XI Punjab"/>
    <s v="Royal Challengers Bangalore"/>
    <x v="0"/>
    <x v="0"/>
    <s v="normal"/>
    <n v="0"/>
    <x v="4"/>
    <n v="0"/>
    <n v="5"/>
    <s v="CH Gayle"/>
    <s v="Punjab Cricket Association Stadium, Mohali"/>
    <s v="S Ravi"/>
    <s v="RJ Tucker"/>
    <m/>
  </r>
  <r>
    <n v="334"/>
    <x v="5"/>
    <s v="Chennai"/>
    <s v="21-04-2012"/>
    <s v="Rajasthan Royals"/>
    <s v="Chennai Super Kings"/>
    <x v="9"/>
    <x v="1"/>
    <s v="normal"/>
    <n v="0"/>
    <x v="8"/>
    <n v="0"/>
    <n v="7"/>
    <s v="F du Plessis"/>
    <s v="MA Chidambaram Stadium, Chepauk"/>
    <s v="Aleem Dar"/>
    <s v="BNJ Oxenford"/>
    <m/>
  </r>
  <r>
    <n v="335"/>
    <x v="5"/>
    <s v="Delhi"/>
    <s v="21-04-2012"/>
    <s v="Pune Warriors"/>
    <s v="Delhi Daredevils"/>
    <x v="7"/>
    <x v="0"/>
    <s v="normal"/>
    <n v="0"/>
    <x v="11"/>
    <n v="20"/>
    <n v="0"/>
    <s v="SC Ganguly"/>
    <s v="Feroz Shah Kotla"/>
    <s v="Asad Rauf"/>
    <s v="S Das"/>
    <m/>
  </r>
  <r>
    <n v="336"/>
    <x v="5"/>
    <s v="Mumbai"/>
    <s v="22-04-2012"/>
    <s v="Mumbai Indians"/>
    <s v="Kings XI Punjab"/>
    <x v="5"/>
    <x v="1"/>
    <s v="normal"/>
    <n v="0"/>
    <x v="3"/>
    <n v="0"/>
    <n v="6"/>
    <s v="SE Marsh"/>
    <s v="Wankhede Stadium"/>
    <s v="S Ravi"/>
    <s v="RJ Tucker"/>
    <m/>
  </r>
  <r>
    <n v="337"/>
    <x v="5"/>
    <s v="Cuttack"/>
    <s v="22-04-2012"/>
    <s v="Deccan Chargers"/>
    <s v="Kolkata Knight Riders"/>
    <x v="2"/>
    <x v="0"/>
    <s v="normal"/>
    <n v="0"/>
    <x v="2"/>
    <n v="0"/>
    <n v="5"/>
    <s v="B Lee"/>
    <s v="Barabati Stadium"/>
    <s v="BF Bowden"/>
    <s v="SK Tarapore"/>
    <m/>
  </r>
  <r>
    <n v="338"/>
    <x v="5"/>
    <s v="Jaipur"/>
    <s v="23-04-2012"/>
    <s v="Royal Challengers Bangalore"/>
    <s v="Rajasthan Royals"/>
    <x v="9"/>
    <x v="0"/>
    <s v="normal"/>
    <n v="0"/>
    <x v="4"/>
    <n v="46"/>
    <n v="0"/>
    <s v="AB de Villiers"/>
    <s v="Sawai Mansingh Stadium"/>
    <s v="Asad Rauf"/>
    <s v="S Asnani"/>
    <m/>
  </r>
  <r>
    <n v="339"/>
    <x v="5"/>
    <s v="Pune"/>
    <s v="24-04-2012"/>
    <s v="Pune Warriors"/>
    <s v="Delhi Daredevils"/>
    <x v="12"/>
    <x v="1"/>
    <s v="normal"/>
    <n v="0"/>
    <x v="6"/>
    <n v="0"/>
    <n v="8"/>
    <s v="V Sehwag"/>
    <s v="Subrata Roy Sahara Stadium"/>
    <s v="S Ravi"/>
    <s v="RJ Tucker"/>
    <m/>
  </r>
  <r>
    <n v="340"/>
    <x v="5"/>
    <s v="Chandigarh"/>
    <s v="25-04-2012"/>
    <s v="Kings XI Punjab"/>
    <s v="Mumbai Indians"/>
    <x v="3"/>
    <x v="1"/>
    <s v="normal"/>
    <n v="0"/>
    <x v="5"/>
    <n v="0"/>
    <n v="4"/>
    <s v="AT Rayudu"/>
    <s v="Punjab Cricket Association Stadium, Mohali"/>
    <s v="Aleem Dar"/>
    <s v="BNJ Oxenford"/>
    <m/>
  </r>
  <r>
    <n v="341"/>
    <x v="5"/>
    <s v="Pune"/>
    <s v="26-04-2012"/>
    <s v="Deccan Chargers"/>
    <s v="Pune Warriors"/>
    <x v="10"/>
    <x v="1"/>
    <s v="normal"/>
    <n v="0"/>
    <x v="10"/>
    <n v="18"/>
    <n v="0"/>
    <s v="CL White"/>
    <s v="Subrata Roy Sahara Stadium"/>
    <s v="S Ravi"/>
    <s v="RJ Tucker"/>
    <m/>
  </r>
  <r>
    <n v="342"/>
    <x v="5"/>
    <s v="Delhi"/>
    <s v="27-04-2012"/>
    <s v="Delhi Daredevils"/>
    <s v="Mumbai Indians"/>
    <x v="5"/>
    <x v="0"/>
    <s v="normal"/>
    <n v="0"/>
    <x v="6"/>
    <n v="37"/>
    <n v="0"/>
    <s v="V Sehwag"/>
    <s v="Feroz Shah Kotla"/>
    <s v="Aleem Dar"/>
    <s v="BNJ Oxenford"/>
    <m/>
  </r>
  <r>
    <n v="343"/>
    <x v="5"/>
    <s v="Chennai"/>
    <s v="28-04-2012"/>
    <s v="Kings XI Punjab"/>
    <s v="Chennai Super Kings"/>
    <x v="3"/>
    <x v="1"/>
    <s v="normal"/>
    <n v="0"/>
    <x v="3"/>
    <n v="7"/>
    <n v="0"/>
    <s v="Mandeep Singh"/>
    <s v="MA Chidambaram Stadium, Chepauk"/>
    <s v="BF Bowden"/>
    <s v="SK Tarapore"/>
    <m/>
  </r>
  <r>
    <n v="344"/>
    <x v="5"/>
    <s v="Kolkata"/>
    <s v="28-04-2012"/>
    <s v="Kolkata Knight Riders"/>
    <s v="Royal Challengers Bangalore"/>
    <x v="2"/>
    <x v="1"/>
    <s v="normal"/>
    <n v="0"/>
    <x v="2"/>
    <n v="47"/>
    <n v="0"/>
    <s v="G Gambhir"/>
    <s v="Eden Gardens"/>
    <s v="Asad Rauf"/>
    <s v="BR Doctrove"/>
    <m/>
  </r>
  <r>
    <n v="345"/>
    <x v="5"/>
    <s v="Delhi"/>
    <s v="29-04-2012"/>
    <s v="Delhi Daredevils"/>
    <s v="Rajasthan Royals"/>
    <x v="7"/>
    <x v="1"/>
    <s v="normal"/>
    <n v="0"/>
    <x v="6"/>
    <n v="1"/>
    <n v="0"/>
    <s v="V Sehwag"/>
    <s v="Feroz Shah Kotla"/>
    <s v="S Ravi"/>
    <s v="RJ Tucker"/>
    <m/>
  </r>
  <r>
    <n v="346"/>
    <x v="5"/>
    <s v="Mumbai"/>
    <s v="29-04-2012"/>
    <s v="Deccan Chargers"/>
    <s v="Mumbai Indians"/>
    <x v="5"/>
    <x v="0"/>
    <s v="normal"/>
    <n v="0"/>
    <x v="5"/>
    <n v="0"/>
    <n v="5"/>
    <s v="DW Steyn"/>
    <s v="Wankhede Stadium"/>
    <s v="AK Chaudhary"/>
    <s v="BNJ Oxenford"/>
    <m/>
  </r>
  <r>
    <n v="347"/>
    <x v="5"/>
    <s v="Chennai"/>
    <s v="30-04-2012"/>
    <s v="Chennai Super Kings"/>
    <s v="Kolkata Knight Riders"/>
    <x v="8"/>
    <x v="1"/>
    <s v="normal"/>
    <n v="0"/>
    <x v="2"/>
    <n v="0"/>
    <n v="5"/>
    <s v="G Gambhir"/>
    <s v="MA Chidambaram Stadium, Chepauk"/>
    <s v="BF Bowden"/>
    <s v="C Shamshuddin"/>
    <m/>
  </r>
  <r>
    <n v="348"/>
    <x v="5"/>
    <s v="Cuttack"/>
    <d v="2012-01-05T00:00:00"/>
    <s v="Deccan Chargers"/>
    <s v="Pune Warriors"/>
    <x v="10"/>
    <x v="1"/>
    <s v="normal"/>
    <n v="0"/>
    <x v="10"/>
    <n v="13"/>
    <n v="0"/>
    <s v="KC Sangakkara"/>
    <s v="Barabati Stadium"/>
    <s v="Aleem Dar"/>
    <s v="AK Chaudhary"/>
    <m/>
  </r>
  <r>
    <n v="349"/>
    <x v="5"/>
    <s v="Jaipur"/>
    <d v="2012-01-05T00:00:00"/>
    <s v="Rajasthan Royals"/>
    <s v="Delhi Daredevils"/>
    <x v="9"/>
    <x v="1"/>
    <s v="normal"/>
    <n v="0"/>
    <x v="6"/>
    <n v="0"/>
    <n v="6"/>
    <s v="P Negi"/>
    <s v="Sawai Mansingh Stadium"/>
    <s v="JD Cloete"/>
    <s v="SJA Taufel"/>
    <m/>
  </r>
  <r>
    <n v="350"/>
    <x v="5"/>
    <s v="Bangalore"/>
    <d v="2012-02-05T00:00:00"/>
    <s v="Royal Challengers Bangalore"/>
    <s v="Kings XI Punjab"/>
    <x v="3"/>
    <x v="0"/>
    <s v="normal"/>
    <n v="0"/>
    <x v="3"/>
    <n v="0"/>
    <n v="4"/>
    <s v="Azhar Mahmood"/>
    <s v="M Chinnaswamy Stadium"/>
    <s v="BF Bowden"/>
    <s v="C Shamshuddin"/>
    <m/>
  </r>
  <r>
    <n v="351"/>
    <x v="5"/>
    <s v="Pune"/>
    <d v="2012-03-05T00:00:00"/>
    <s v="Mumbai Indians"/>
    <s v="Pune Warriors"/>
    <x v="5"/>
    <x v="1"/>
    <s v="normal"/>
    <n v="0"/>
    <x v="5"/>
    <n v="1"/>
    <n v="0"/>
    <s v="SL Malinga"/>
    <s v="Subrata Roy Sahara Stadium"/>
    <s v="Asad Rauf"/>
    <s v="S Asnani"/>
    <m/>
  </r>
  <r>
    <n v="352"/>
    <x v="5"/>
    <s v="Chennai"/>
    <d v="2012-04-05T00:00:00"/>
    <s v="Chennai Super Kings"/>
    <s v="Deccan Chargers"/>
    <x v="8"/>
    <x v="1"/>
    <s v="normal"/>
    <n v="0"/>
    <x v="8"/>
    <n v="10"/>
    <n v="0"/>
    <s v="SK Raina"/>
    <s v="MA Chidambaram Stadium, Chepauk"/>
    <s v="HDPK Dharmasena"/>
    <s v="BNJ Oxenford"/>
    <m/>
  </r>
  <r>
    <n v="353"/>
    <x v="5"/>
    <s v="Kolkata"/>
    <d v="2012-05-05T00:00:00"/>
    <s v="Kolkata Knight Riders"/>
    <s v="Pune Warriors"/>
    <x v="2"/>
    <x v="1"/>
    <s v="normal"/>
    <n v="0"/>
    <x v="2"/>
    <n v="7"/>
    <n v="0"/>
    <s v="SP Narine"/>
    <s v="Eden Gardens"/>
    <s v="BF Bowden"/>
    <s v="SK Tarapore"/>
    <m/>
  </r>
  <r>
    <n v="354"/>
    <x v="5"/>
    <s v="Chandigarh"/>
    <d v="2012-05-05T00:00:00"/>
    <s v="Rajasthan Royals"/>
    <s v="Kings XI Punjab"/>
    <x v="9"/>
    <x v="1"/>
    <s v="normal"/>
    <n v="0"/>
    <x v="9"/>
    <n v="43"/>
    <n v="0"/>
    <s v="SR Watson"/>
    <s v="Punjab Cricket Association Stadium, Mohali"/>
    <s v="JD Cloete"/>
    <s v="SJA Taufel"/>
    <m/>
  </r>
  <r>
    <n v="355"/>
    <x v="5"/>
    <s v="Mumbai"/>
    <d v="2012-06-05T00:00:00"/>
    <s v="Chennai Super Kings"/>
    <s v="Mumbai Indians"/>
    <x v="5"/>
    <x v="0"/>
    <s v="normal"/>
    <n v="0"/>
    <x v="5"/>
    <n v="0"/>
    <n v="2"/>
    <s v="DR Smith"/>
    <s v="Wankhede Stadium"/>
    <s v="Asad Rauf"/>
    <s v="S Asnani"/>
    <m/>
  </r>
  <r>
    <n v="356"/>
    <x v="5"/>
    <s v="Bangalore"/>
    <d v="2012-06-05T00:00:00"/>
    <s v="Deccan Chargers"/>
    <s v="Royal Challengers Bangalore"/>
    <x v="0"/>
    <x v="0"/>
    <s v="normal"/>
    <n v="0"/>
    <x v="4"/>
    <n v="0"/>
    <n v="5"/>
    <s v="AB de Villiers"/>
    <s v="M Chinnaswamy Stadium"/>
    <s v="HDPK Dharmasena"/>
    <s v="BNJ Oxenford"/>
    <m/>
  </r>
  <r>
    <n v="357"/>
    <x v="5"/>
    <s v="Delhi"/>
    <d v="2012-07-05T00:00:00"/>
    <s v="Delhi Daredevils"/>
    <s v="Kolkata Knight Riders"/>
    <x v="7"/>
    <x v="1"/>
    <s v="normal"/>
    <n v="0"/>
    <x v="2"/>
    <n v="0"/>
    <n v="6"/>
    <s v="JH Kallis"/>
    <s v="Feroz Shah Kotla"/>
    <s v="JD Cloete"/>
    <s v="S Ravi"/>
    <m/>
  </r>
  <r>
    <n v="358"/>
    <x v="5"/>
    <s v="Pune"/>
    <d v="2012-08-05T00:00:00"/>
    <s v="Pune Warriors"/>
    <s v="Rajasthan Royals"/>
    <x v="12"/>
    <x v="1"/>
    <s v="normal"/>
    <n v="0"/>
    <x v="9"/>
    <n v="0"/>
    <n v="7"/>
    <s v="SR Watson"/>
    <s v="Subrata Roy Sahara Stadium"/>
    <s v="Asad Rauf"/>
    <s v="BR Doctrove"/>
    <m/>
  </r>
  <r>
    <n v="359"/>
    <x v="5"/>
    <s v="Hyderabad"/>
    <d v="2012-08-05T00:00:00"/>
    <s v="Kings XI Punjab"/>
    <s v="Deccan Chargers"/>
    <x v="10"/>
    <x v="0"/>
    <s v="normal"/>
    <n v="0"/>
    <x v="3"/>
    <n v="25"/>
    <n v="0"/>
    <s v="Mandeep Singh"/>
    <s v="Rajiv Gandhi International Stadium, Uppal"/>
    <s v="HDPK Dharmasena"/>
    <s v="BNJ Oxenford"/>
    <m/>
  </r>
  <r>
    <n v="360"/>
    <x v="5"/>
    <s v="Mumbai"/>
    <d v="2012-09-05T00:00:00"/>
    <s v="Mumbai Indians"/>
    <s v="Royal Challengers Bangalore"/>
    <x v="0"/>
    <x v="0"/>
    <s v="normal"/>
    <n v="0"/>
    <x v="4"/>
    <n v="0"/>
    <n v="9"/>
    <s v="CH Gayle"/>
    <s v="Wankhede Stadium"/>
    <s v="BF Bowden"/>
    <s v="VA Kulkarni"/>
    <m/>
  </r>
  <r>
    <n v="361"/>
    <x v="5"/>
    <s v="Jaipur"/>
    <d v="2012-10-05T00:00:00"/>
    <s v="Rajasthan Royals"/>
    <s v="Chennai Super Kings"/>
    <x v="8"/>
    <x v="0"/>
    <s v="normal"/>
    <n v="0"/>
    <x v="8"/>
    <n v="0"/>
    <n v="4"/>
    <s v="BW Hilfenhaus"/>
    <s v="Sawai Mansingh Stadium"/>
    <s v="BNJ Oxenford"/>
    <s v="C Shamshuddin"/>
    <m/>
  </r>
  <r>
    <n v="362"/>
    <x v="5"/>
    <s v="Pune"/>
    <d v="2012-11-05T00:00:00"/>
    <s v="Royal Challengers Bangalore"/>
    <s v="Pune Warriors"/>
    <x v="12"/>
    <x v="0"/>
    <s v="normal"/>
    <n v="0"/>
    <x v="4"/>
    <n v="35"/>
    <n v="0"/>
    <s v="CH Gayle"/>
    <s v="Subrata Roy Sahara Stadium"/>
    <s v="BF Bowden"/>
    <s v="SK Tarapore"/>
    <m/>
  </r>
  <r>
    <n v="363"/>
    <x v="5"/>
    <s v="Kolkata"/>
    <d v="2012-12-05T00:00:00"/>
    <s v="Mumbai Indians"/>
    <s v="Kolkata Knight Riders"/>
    <x v="5"/>
    <x v="1"/>
    <s v="normal"/>
    <n v="0"/>
    <x v="5"/>
    <n v="27"/>
    <n v="0"/>
    <s v="RG Sharma"/>
    <s v="Eden Gardens"/>
    <s v="S Ravi"/>
    <s v="SJA Taufel"/>
    <m/>
  </r>
  <r>
    <n v="364"/>
    <x v="5"/>
    <s v="Chennai"/>
    <d v="2012-12-05T00:00:00"/>
    <s v="Delhi Daredevils"/>
    <s v="Chennai Super Kings"/>
    <x v="8"/>
    <x v="0"/>
    <s v="normal"/>
    <n v="0"/>
    <x v="8"/>
    <n v="0"/>
    <n v="9"/>
    <s v="BW Hilfenhaus"/>
    <s v="MA Chidambaram Stadium, Chepauk"/>
    <s v="S Das"/>
    <s v="BR Doctrove"/>
    <m/>
  </r>
  <r>
    <n v="365"/>
    <x v="5"/>
    <s v="Jaipur"/>
    <s v="13-05-2012"/>
    <s v="Rajasthan Royals"/>
    <s v="Pune Warriors"/>
    <x v="9"/>
    <x v="1"/>
    <s v="normal"/>
    <n v="0"/>
    <x v="9"/>
    <n v="45"/>
    <n v="0"/>
    <s v="A Chandila"/>
    <s v="Sawai Mansingh Stadium"/>
    <s v="BF Bowden"/>
    <s v="SK Tarapore"/>
    <m/>
  </r>
  <r>
    <n v="366"/>
    <x v="5"/>
    <s v="Chandigarh"/>
    <s v="13-05-2012"/>
    <s v="Deccan Chargers"/>
    <s v="Kings XI Punjab"/>
    <x v="10"/>
    <x v="1"/>
    <s v="normal"/>
    <n v="0"/>
    <x v="3"/>
    <n v="0"/>
    <n v="4"/>
    <s v="DJ Hussey"/>
    <s v="Punjab Cricket Association Stadium, Mohali"/>
    <s v="HDPK Dharmasena"/>
    <s v="BNJ Oxenford"/>
    <m/>
  </r>
  <r>
    <n v="367"/>
    <x v="5"/>
    <s v="Bangalore"/>
    <s v="14-05-2012"/>
    <s v="Royal Challengers Bangalore"/>
    <s v="Mumbai Indians"/>
    <x v="5"/>
    <x v="0"/>
    <s v="normal"/>
    <n v="0"/>
    <x v="5"/>
    <n v="0"/>
    <n v="5"/>
    <s v="AT Rayudu"/>
    <s v="M Chinnaswamy Stadium"/>
    <s v="S Das"/>
    <s v="BR Doctrove"/>
    <m/>
  </r>
  <r>
    <n v="368"/>
    <x v="5"/>
    <s v="Kolkata"/>
    <s v="14-05-2012"/>
    <s v="Kolkata Knight Riders"/>
    <s v="Chennai Super Kings"/>
    <x v="8"/>
    <x v="0"/>
    <s v="normal"/>
    <n v="0"/>
    <x v="8"/>
    <n v="0"/>
    <n v="5"/>
    <s v="MEK Hussey"/>
    <s v="Eden Gardens"/>
    <s v="JD Cloete"/>
    <s v="SJA Taufel"/>
    <m/>
  </r>
  <r>
    <n v="369"/>
    <x v="5"/>
    <s v="Delhi"/>
    <s v="15-05-2012"/>
    <s v="Kings XI Punjab"/>
    <s v="Delhi Daredevils"/>
    <x v="3"/>
    <x v="1"/>
    <s v="normal"/>
    <n v="0"/>
    <x v="6"/>
    <n v="0"/>
    <n v="5"/>
    <s v="UT Yadav"/>
    <s v="Feroz Shah Kotla"/>
    <s v="HDPK Dharmasena"/>
    <s v="BNJ Oxenford"/>
    <m/>
  </r>
  <r>
    <n v="370"/>
    <x v="5"/>
    <s v="Mumbai"/>
    <s v="16-05-2012"/>
    <s v="Kolkata Knight Riders"/>
    <s v="Mumbai Indians"/>
    <x v="5"/>
    <x v="0"/>
    <s v="normal"/>
    <n v="0"/>
    <x v="2"/>
    <n v="32"/>
    <n v="0"/>
    <s v="SP Narine"/>
    <s v="Wankhede Stadium"/>
    <s v="S Das"/>
    <s v="BR Doctrove"/>
    <m/>
  </r>
  <r>
    <n v="371"/>
    <x v="5"/>
    <s v="Dharamsala"/>
    <s v="17-05-2012"/>
    <s v="Chennai Super Kings"/>
    <s v="Kings XI Punjab"/>
    <x v="3"/>
    <x v="0"/>
    <s v="normal"/>
    <n v="0"/>
    <x v="3"/>
    <n v="0"/>
    <n v="6"/>
    <s v="AC Gilchrist"/>
    <s v="Himachal Pradesh Cricket Association Stadium"/>
    <s v="VA Kulkarni"/>
    <s v="SK Tarapore"/>
    <m/>
  </r>
  <r>
    <n v="372"/>
    <x v="5"/>
    <s v="Delhi"/>
    <s v="17-05-2012"/>
    <s v="Royal Challengers Bangalore"/>
    <s v="Delhi Daredevils"/>
    <x v="7"/>
    <x v="0"/>
    <s v="normal"/>
    <n v="0"/>
    <x v="4"/>
    <n v="21"/>
    <n v="0"/>
    <s v="CH Gayle"/>
    <s v="Feroz Shah Kotla"/>
    <s v="HDPK Dharmasena"/>
    <s v="C Shamshuddin"/>
    <m/>
  </r>
  <r>
    <n v="373"/>
    <x v="5"/>
    <s v="Hyderabad"/>
    <s v="18-05-2012"/>
    <s v="Rajasthan Royals"/>
    <s v="Deccan Chargers"/>
    <x v="9"/>
    <x v="1"/>
    <s v="normal"/>
    <n v="0"/>
    <x v="10"/>
    <n v="0"/>
    <n v="5"/>
    <s v="DW Steyn"/>
    <s v="Rajiv Gandhi International Stadium, Uppal"/>
    <s v="S Ravi"/>
    <s v="SJA Taufel"/>
    <m/>
  </r>
  <r>
    <n v="374"/>
    <x v="5"/>
    <s v="Dharamsala"/>
    <s v="19-05-2012"/>
    <s v="Kings XI Punjab"/>
    <s v="Delhi Daredevils"/>
    <x v="7"/>
    <x v="0"/>
    <s v="normal"/>
    <n v="0"/>
    <x v="6"/>
    <n v="0"/>
    <n v="6"/>
    <s v="UT Yadav"/>
    <s v="Himachal Pradesh Cricket Association Stadium"/>
    <s v="BF Bowden"/>
    <s v="VA Kulkarni"/>
    <m/>
  </r>
  <r>
    <n v="375"/>
    <x v="5"/>
    <s v="Pune"/>
    <s v="19-05-2012"/>
    <s v="Kolkata Knight Riders"/>
    <s v="Pune Warriors"/>
    <x v="2"/>
    <x v="1"/>
    <s v="normal"/>
    <n v="0"/>
    <x v="2"/>
    <n v="34"/>
    <n v="0"/>
    <s v="Shakib Al Hasan"/>
    <s v="Subrata Roy Sahara Stadium"/>
    <s v="S Asnani"/>
    <s v="BR Doctrove"/>
    <m/>
  </r>
  <r>
    <n v="376"/>
    <x v="5"/>
    <s v="Hyderabad"/>
    <s v="20-05-2012"/>
    <s v="Deccan Chargers"/>
    <s v="Royal Challengers Bangalore"/>
    <x v="0"/>
    <x v="0"/>
    <s v="normal"/>
    <n v="0"/>
    <x v="10"/>
    <n v="9"/>
    <n v="0"/>
    <s v="DW Steyn"/>
    <s v="Rajiv Gandhi International Stadium, Uppal"/>
    <s v="S Ravi"/>
    <s v="SJA Taufel"/>
    <m/>
  </r>
  <r>
    <n v="377"/>
    <x v="5"/>
    <s v="Jaipur"/>
    <s v="20-05-2012"/>
    <s v="Rajasthan Royals"/>
    <s v="Mumbai Indians"/>
    <x v="9"/>
    <x v="1"/>
    <s v="normal"/>
    <n v="0"/>
    <x v="5"/>
    <n v="0"/>
    <n v="10"/>
    <s v="DR Smith"/>
    <s v="Sawai Mansingh Stadium"/>
    <s v="HDPK Dharmasena"/>
    <s v="C Shamshuddin"/>
    <m/>
  </r>
  <r>
    <n v="378"/>
    <x v="5"/>
    <s v="Pune"/>
    <s v="22-05-2012"/>
    <s v="Kolkata Knight Riders"/>
    <s v="Delhi Daredevils"/>
    <x v="2"/>
    <x v="1"/>
    <s v="normal"/>
    <n v="0"/>
    <x v="2"/>
    <n v="18"/>
    <n v="0"/>
    <s v="YK Pathan"/>
    <s v="Subrata Roy Sahara Stadium"/>
    <s v="BR Doctrove"/>
    <s v="SJA Taufel"/>
    <m/>
  </r>
  <r>
    <n v="379"/>
    <x v="5"/>
    <s v="Bangalore"/>
    <s v="23-05-2012"/>
    <s v="Chennai Super Kings"/>
    <s v="Mumbai Indians"/>
    <x v="5"/>
    <x v="0"/>
    <s v="normal"/>
    <n v="0"/>
    <x v="8"/>
    <n v="38"/>
    <n v="0"/>
    <s v="MS Dhoni"/>
    <s v="M Chinnaswamy Stadium"/>
    <s v="BF Bowden"/>
    <s v="HDPK Dharmasena"/>
    <m/>
  </r>
  <r>
    <n v="380"/>
    <x v="5"/>
    <s v="Chennai"/>
    <s v="25-05-2012"/>
    <s v="Chennai Super Kings"/>
    <s v="Delhi Daredevils"/>
    <x v="7"/>
    <x v="0"/>
    <s v="normal"/>
    <n v="0"/>
    <x v="8"/>
    <n v="86"/>
    <n v="0"/>
    <s v="M Vijay"/>
    <s v="MA Chidambaram Stadium, Chepauk"/>
    <s v="BR Doctrove"/>
    <s v="SJA Taufel"/>
    <m/>
  </r>
  <r>
    <n v="381"/>
    <x v="5"/>
    <s v="Chennai"/>
    <s v="27-05-2012"/>
    <s v="Chennai Super Kings"/>
    <s v="Kolkata Knight Riders"/>
    <x v="8"/>
    <x v="1"/>
    <s v="normal"/>
    <n v="0"/>
    <x v="2"/>
    <n v="0"/>
    <n v="5"/>
    <s v="MS Bisla"/>
    <s v="MA Chidambaram Stadium, Chepauk"/>
    <s v="BF Bowden"/>
    <s v="SJA Taufel"/>
    <m/>
  </r>
  <r>
    <n v="382"/>
    <x v="6"/>
    <s v="Kolkata"/>
    <d v="2013-03-04T00:00:00"/>
    <s v="Delhi Daredevils"/>
    <s v="Kolkata Knight Riders"/>
    <x v="2"/>
    <x v="0"/>
    <s v="normal"/>
    <n v="0"/>
    <x v="2"/>
    <n v="0"/>
    <n v="6"/>
    <s v="SP Narine"/>
    <s v="Eden Gardens"/>
    <s v="S Ravi"/>
    <s v="SJA Taufel"/>
    <m/>
  </r>
  <r>
    <n v="383"/>
    <x v="6"/>
    <s v="Bangalore"/>
    <d v="2013-04-04T00:00:00"/>
    <s v="Royal Challengers Bangalore"/>
    <s v="Mumbai Indians"/>
    <x v="5"/>
    <x v="0"/>
    <s v="normal"/>
    <n v="0"/>
    <x v="4"/>
    <n v="2"/>
    <n v="0"/>
    <s v="CH Gayle"/>
    <s v="M Chinnaswamy Stadium"/>
    <s v="VA Kulkarni"/>
    <s v="C Shamshuddin"/>
    <m/>
  </r>
  <r>
    <n v="384"/>
    <x v="6"/>
    <s v="Hyderabad"/>
    <d v="2013-05-04T00:00:00"/>
    <s v="Sunrisers Hyderabad"/>
    <s v="Pune Warriors"/>
    <x v="12"/>
    <x v="0"/>
    <s v="normal"/>
    <n v="0"/>
    <x v="0"/>
    <n v="22"/>
    <n v="0"/>
    <s v="A Mishra"/>
    <s v="Rajiv Gandhi International Stadium, Uppal"/>
    <s v="S Ravi"/>
    <s v="SJA Taufel"/>
    <m/>
  </r>
  <r>
    <n v="385"/>
    <x v="6"/>
    <s v="Delhi"/>
    <d v="2013-06-04T00:00:00"/>
    <s v="Rajasthan Royals"/>
    <s v="Delhi Daredevils"/>
    <x v="9"/>
    <x v="1"/>
    <s v="normal"/>
    <n v="0"/>
    <x v="9"/>
    <n v="5"/>
    <n v="0"/>
    <s v="R Dravid"/>
    <s v="Feroz Shah Kotla"/>
    <s v="S Das"/>
    <s v="C Shamshuddin"/>
    <m/>
  </r>
  <r>
    <n v="386"/>
    <x v="6"/>
    <s v="Chennai"/>
    <d v="2013-06-04T00:00:00"/>
    <s v="Mumbai Indians"/>
    <s v="Chennai Super Kings"/>
    <x v="5"/>
    <x v="1"/>
    <s v="normal"/>
    <n v="0"/>
    <x v="5"/>
    <n v="9"/>
    <n v="0"/>
    <s v="KA Pollard"/>
    <s v="MA Chidambaram Stadium, Chepauk"/>
    <s v="M Erasmus"/>
    <s v="VA Kulkarni"/>
    <m/>
  </r>
  <r>
    <n v="387"/>
    <x v="6"/>
    <s v="Pune"/>
    <d v="2013-07-04T00:00:00"/>
    <s v="Pune Warriors"/>
    <s v="Kings XI Punjab"/>
    <x v="12"/>
    <x v="1"/>
    <s v="normal"/>
    <n v="0"/>
    <x v="3"/>
    <n v="0"/>
    <n v="8"/>
    <s v="M Vohra"/>
    <s v="Subrata Roy Sahara Stadium"/>
    <s v="S Asnani"/>
    <s v="SJA Taufel"/>
    <m/>
  </r>
  <r>
    <n v="388"/>
    <x v="6"/>
    <s v="Hyderabad"/>
    <d v="2013-07-04T00:00:00"/>
    <s v="Royal Challengers Bangalore"/>
    <s v="Sunrisers Hyderabad"/>
    <x v="0"/>
    <x v="1"/>
    <s v="tie"/>
    <n v="0"/>
    <x v="0"/>
    <n v="0"/>
    <n v="0"/>
    <s v="GH Vihari"/>
    <s v="Rajiv Gandhi International Stadium, Uppal"/>
    <s v="AK Chaudhary"/>
    <s v="S Ravi"/>
    <m/>
  </r>
  <r>
    <n v="389"/>
    <x v="6"/>
    <s v="Jaipur"/>
    <d v="2013-08-04T00:00:00"/>
    <s v="Rajasthan Royals"/>
    <s v="Kolkata Knight Riders"/>
    <x v="2"/>
    <x v="0"/>
    <s v="normal"/>
    <n v="0"/>
    <x v="9"/>
    <n v="19"/>
    <n v="0"/>
    <s v="SK Trivedi"/>
    <s v="Sawai Mansingh Stadium"/>
    <s v="Aleem Dar"/>
    <s v="S Das"/>
    <m/>
  </r>
  <r>
    <n v="390"/>
    <x v="6"/>
    <s v="Mumbai"/>
    <d v="2013-09-04T00:00:00"/>
    <s v="Mumbai Indians"/>
    <s v="Delhi Daredevils"/>
    <x v="5"/>
    <x v="1"/>
    <s v="normal"/>
    <n v="0"/>
    <x v="5"/>
    <n v="44"/>
    <n v="0"/>
    <s v="KD Karthik"/>
    <s v="Wankhede Stadium"/>
    <s v="M Erasmus"/>
    <s v="VA Kulkarni"/>
    <m/>
  </r>
  <r>
    <n v="391"/>
    <x v="6"/>
    <s v="Chandigarh"/>
    <d v="2013-10-04T00:00:00"/>
    <s v="Kings XI Punjab"/>
    <s v="Chennai Super Kings"/>
    <x v="8"/>
    <x v="0"/>
    <s v="normal"/>
    <n v="0"/>
    <x v="8"/>
    <n v="0"/>
    <n v="10"/>
    <s v="MEK Hussey"/>
    <s v="Punjab Cricket Association Stadium, Mohali"/>
    <s v="Aleem Dar"/>
    <s v="C Shamshuddin"/>
    <m/>
  </r>
  <r>
    <n v="392"/>
    <x v="6"/>
    <s v="Bangalore"/>
    <d v="2013-11-04T00:00:00"/>
    <s v="Kolkata Knight Riders"/>
    <s v="Royal Challengers Bangalore"/>
    <x v="0"/>
    <x v="0"/>
    <s v="normal"/>
    <n v="0"/>
    <x v="4"/>
    <n v="0"/>
    <n v="8"/>
    <s v="CH Gayle"/>
    <s v="M Chinnaswamy Stadium"/>
    <s v="Asad Rauf"/>
    <s v="AK Chaudhary"/>
    <m/>
  </r>
  <r>
    <n v="393"/>
    <x v="6"/>
    <s v="Pune"/>
    <d v="2013-11-04T00:00:00"/>
    <s v="Rajasthan Royals"/>
    <s v="Pune Warriors"/>
    <x v="9"/>
    <x v="1"/>
    <s v="normal"/>
    <n v="0"/>
    <x v="11"/>
    <n v="0"/>
    <n v="7"/>
    <s v="AJ Finch"/>
    <s v="Subrata Roy Sahara Stadium"/>
    <s v="M Erasmus"/>
    <s v="K Srinath"/>
    <m/>
  </r>
  <r>
    <n v="394"/>
    <x v="6"/>
    <s v="Delhi"/>
    <d v="2013-12-04T00:00:00"/>
    <s v="Delhi Daredevils"/>
    <s v="Sunrisers Hyderabad"/>
    <x v="7"/>
    <x v="1"/>
    <s v="normal"/>
    <n v="0"/>
    <x v="0"/>
    <n v="0"/>
    <n v="3"/>
    <s v="A Mishra"/>
    <s v="Feroz Shah Kotla"/>
    <s v="Aleem Dar"/>
    <s v="Subroto Das"/>
    <m/>
  </r>
  <r>
    <n v="395"/>
    <x v="6"/>
    <s v="Mumbai"/>
    <s v="13-04-2013"/>
    <s v="Mumbai Indians"/>
    <s v="Pune Warriors"/>
    <x v="5"/>
    <x v="1"/>
    <s v="normal"/>
    <n v="0"/>
    <x v="5"/>
    <n v="41"/>
    <n v="0"/>
    <s v="RG Sharma"/>
    <s v="Wankhede Stadium"/>
    <s v="S Ravi"/>
    <s v="SJA Taufel"/>
    <m/>
  </r>
  <r>
    <n v="396"/>
    <x v="6"/>
    <s v="Chennai"/>
    <s v="13-04-2013"/>
    <s v="Royal Challengers Bangalore"/>
    <s v="Chennai Super Kings"/>
    <x v="8"/>
    <x v="0"/>
    <s v="normal"/>
    <n v="0"/>
    <x v="8"/>
    <n v="0"/>
    <n v="4"/>
    <s v="RA Jadeja"/>
    <s v="MA Chidambaram Stadium, Chepauk"/>
    <s v="Asad Rauf"/>
    <s v="AK Chaudhary"/>
    <m/>
  </r>
  <r>
    <n v="397"/>
    <x v="6"/>
    <s v="Kolkata"/>
    <s v="14-04-2013"/>
    <s v="Kolkata Knight Riders"/>
    <s v="Sunrisers Hyderabad"/>
    <x v="2"/>
    <x v="1"/>
    <s v="normal"/>
    <n v="0"/>
    <x v="2"/>
    <n v="48"/>
    <n v="0"/>
    <s v="G Gambhir"/>
    <s v="Eden Gardens"/>
    <s v="M Erasmus"/>
    <s v="VA Kulkarni"/>
    <m/>
  </r>
  <r>
    <n v="398"/>
    <x v="6"/>
    <s v="Jaipur"/>
    <s v="14-04-2013"/>
    <s v="Kings XI Punjab"/>
    <s v="Rajasthan Royals"/>
    <x v="9"/>
    <x v="0"/>
    <s v="normal"/>
    <n v="0"/>
    <x v="9"/>
    <n v="0"/>
    <n v="6"/>
    <s v="JP Faulkner"/>
    <s v="Sawai Mansingh Stadium"/>
    <s v="Aleem Dar"/>
    <s v="C Shamshuddin"/>
    <m/>
  </r>
  <r>
    <n v="399"/>
    <x v="6"/>
    <s v="Chennai"/>
    <s v="15-04-2013"/>
    <s v="Pune Warriors"/>
    <s v="Chennai Super Kings"/>
    <x v="12"/>
    <x v="1"/>
    <s v="normal"/>
    <n v="0"/>
    <x v="11"/>
    <n v="24"/>
    <n v="0"/>
    <s v="SPD Smith"/>
    <s v="MA Chidambaram Stadium, Chepauk"/>
    <s v="Asad Rauf"/>
    <s v="AK Chaudhary"/>
    <m/>
  </r>
  <r>
    <n v="400"/>
    <x v="6"/>
    <s v="Chandigarh"/>
    <s v="16-04-2013"/>
    <s v="Kings XI Punjab"/>
    <s v="Kolkata Knight Riders"/>
    <x v="2"/>
    <x v="0"/>
    <s v="normal"/>
    <n v="0"/>
    <x v="3"/>
    <n v="4"/>
    <n v="0"/>
    <s v="MS Gony"/>
    <s v="Punjab Cricket Association Stadium, Mohali"/>
    <s v="CK Nandan"/>
    <s v="SJA Taufel"/>
    <m/>
  </r>
  <r>
    <n v="401"/>
    <x v="6"/>
    <s v="Bangalore"/>
    <s v="16-04-2013"/>
    <s v="Delhi Daredevils"/>
    <s v="Royal Challengers Bangalore"/>
    <x v="0"/>
    <x v="0"/>
    <s v="tie"/>
    <n v="0"/>
    <x v="4"/>
    <n v="0"/>
    <n v="0"/>
    <s v="V Kohli"/>
    <s v="M Chinnaswamy Stadium"/>
    <s v="M Erasmus"/>
    <s v="VA Kulkarni"/>
    <m/>
  </r>
  <r>
    <n v="402"/>
    <x v="6"/>
    <s v="Pune"/>
    <s v="17-04-2013"/>
    <s v="Sunrisers Hyderabad"/>
    <s v="Pune Warriors"/>
    <x v="12"/>
    <x v="0"/>
    <s v="normal"/>
    <n v="0"/>
    <x v="0"/>
    <n v="11"/>
    <n v="0"/>
    <s v="A Mishra"/>
    <s v="Subrata Roy Sahara Stadium"/>
    <s v="Asad Rauf"/>
    <s v="AK Chaudhary"/>
    <m/>
  </r>
  <r>
    <n v="403"/>
    <x v="6"/>
    <s v="Jaipur"/>
    <s v="17-04-2013"/>
    <s v="Rajasthan Royals"/>
    <s v="Mumbai Indians"/>
    <x v="9"/>
    <x v="1"/>
    <s v="normal"/>
    <n v="0"/>
    <x v="9"/>
    <n v="87"/>
    <n v="0"/>
    <s v="AM Rahane"/>
    <s v="Sawai Mansingh Stadium"/>
    <s v="Aleem Dar"/>
    <s v="C Shamshuddin"/>
    <m/>
  </r>
  <r>
    <n v="404"/>
    <x v="6"/>
    <s v="Delhi"/>
    <s v="18-04-2013"/>
    <s v="Chennai Super Kings"/>
    <s v="Delhi Daredevils"/>
    <x v="8"/>
    <x v="1"/>
    <s v="normal"/>
    <n v="0"/>
    <x v="8"/>
    <n v="86"/>
    <n v="0"/>
    <s v="MEK Hussey"/>
    <s v="Feroz Shah Kotla"/>
    <s v="M Erasmus"/>
    <s v="VA Kulkarni"/>
    <m/>
  </r>
  <r>
    <n v="405"/>
    <x v="6"/>
    <s v="Hyderabad"/>
    <s v="19-04-2013"/>
    <s v="Kings XI Punjab"/>
    <s v="Sunrisers Hyderabad"/>
    <x v="3"/>
    <x v="1"/>
    <s v="normal"/>
    <n v="0"/>
    <x v="0"/>
    <n v="0"/>
    <n v="5"/>
    <s v="GH Vihari"/>
    <s v="Rajiv Gandhi International Stadium, Uppal"/>
    <s v="HDPK Dharmasena"/>
    <s v="CK Nandan"/>
    <m/>
  </r>
  <r>
    <n v="406"/>
    <x v="6"/>
    <s v="Kolkata"/>
    <s v="20-04-2013"/>
    <s v="Kolkata Knight Riders"/>
    <s v="Chennai Super Kings"/>
    <x v="2"/>
    <x v="1"/>
    <s v="normal"/>
    <n v="0"/>
    <x v="8"/>
    <n v="0"/>
    <n v="4"/>
    <s v="RA Jadeja"/>
    <s v="Eden Gardens"/>
    <s v="Asad Rauf"/>
    <s v="AK Chaudhary"/>
    <m/>
  </r>
  <r>
    <n v="407"/>
    <x v="6"/>
    <s v="Bangalore"/>
    <s v="20-04-2013"/>
    <s v="Rajasthan Royals"/>
    <s v="Royal Challengers Bangalore"/>
    <x v="0"/>
    <x v="0"/>
    <s v="normal"/>
    <n v="0"/>
    <x v="4"/>
    <n v="0"/>
    <n v="7"/>
    <s v="R Vinay Kumar"/>
    <s v="M Chinnaswamy Stadium"/>
    <s v="Aleem Dar"/>
    <s v="C Shamshuddin"/>
    <m/>
  </r>
  <r>
    <n v="408"/>
    <x v="6"/>
    <s v="Delhi"/>
    <s v="21-04-2013"/>
    <s v="Mumbai Indians"/>
    <s v="Delhi Daredevils"/>
    <x v="5"/>
    <x v="1"/>
    <s v="normal"/>
    <n v="0"/>
    <x v="6"/>
    <n v="0"/>
    <n v="9"/>
    <s v="V Sehwag"/>
    <s v="Feroz Shah Kotla"/>
    <s v="HDPK Dharmasena"/>
    <s v="S Ravi"/>
    <m/>
  </r>
  <r>
    <n v="409"/>
    <x v="6"/>
    <s v="Chandigarh"/>
    <s v="21-04-2013"/>
    <s v="Pune Warriors"/>
    <s v="Kings XI Punjab"/>
    <x v="3"/>
    <x v="0"/>
    <s v="normal"/>
    <n v="0"/>
    <x v="3"/>
    <n v="0"/>
    <n v="7"/>
    <s v="DA Miller"/>
    <s v="Punjab Cricket Association Stadium, Mohali"/>
    <s v="M Erasmus"/>
    <s v="K Srinath"/>
    <m/>
  </r>
  <r>
    <n v="410"/>
    <x v="6"/>
    <s v="Chennai"/>
    <s v="22-04-2013"/>
    <s v="Rajasthan Royals"/>
    <s v="Chennai Super Kings"/>
    <x v="9"/>
    <x v="1"/>
    <s v="normal"/>
    <n v="0"/>
    <x v="8"/>
    <n v="0"/>
    <n v="5"/>
    <s v="MEK Hussey"/>
    <s v="MA Chidambaram Stadium, Chepauk"/>
    <s v="S Asnani"/>
    <s v="AK Chaudhary"/>
    <m/>
  </r>
  <r>
    <n v="411"/>
    <x v="6"/>
    <s v="Bangalore"/>
    <s v="23-04-2013"/>
    <s v="Royal Challengers Bangalore"/>
    <s v="Pune Warriors"/>
    <x v="12"/>
    <x v="0"/>
    <s v="normal"/>
    <n v="0"/>
    <x v="4"/>
    <n v="130"/>
    <n v="0"/>
    <s v="CH Gayle"/>
    <s v="M Chinnaswamy Stadium"/>
    <s v="Aleem Dar"/>
    <s v="C Shamshuddin"/>
    <m/>
  </r>
  <r>
    <n v="412"/>
    <x v="6"/>
    <s v="Dharamsala"/>
    <s v="16-05-2013"/>
    <s v="Kings XI Punjab"/>
    <s v="Delhi Daredevils"/>
    <x v="7"/>
    <x v="0"/>
    <s v="normal"/>
    <n v="0"/>
    <x v="3"/>
    <n v="7"/>
    <n v="0"/>
    <s v="DA Miller"/>
    <s v="Himachal Pradesh Cricket Association Stadium"/>
    <s v="HDPK Dharmasena"/>
    <s v="S Ravi"/>
    <m/>
  </r>
  <r>
    <n v="413"/>
    <x v="6"/>
    <s v="Kolkata"/>
    <s v="24-04-2013"/>
    <s v="Kolkata Knight Riders"/>
    <s v="Mumbai Indians"/>
    <x v="2"/>
    <x v="1"/>
    <s v="normal"/>
    <n v="0"/>
    <x v="5"/>
    <n v="0"/>
    <n v="5"/>
    <s v="DR Smith"/>
    <s v="Eden Gardens"/>
    <s v="HDPK Dharmasena"/>
    <s v="S Ravi"/>
    <m/>
  </r>
  <r>
    <n v="414"/>
    <x v="6"/>
    <s v="Chennai"/>
    <s v="25-04-2013"/>
    <s v="Sunrisers Hyderabad"/>
    <s v="Chennai Super Kings"/>
    <x v="4"/>
    <x v="1"/>
    <s v="normal"/>
    <n v="0"/>
    <x v="8"/>
    <n v="0"/>
    <n v="5"/>
    <s v="MS Dhoni"/>
    <s v="MA Chidambaram Stadium, Chepauk"/>
    <s v="Aleem Dar"/>
    <s v="S Das"/>
    <m/>
  </r>
  <r>
    <n v="415"/>
    <x v="6"/>
    <s v="Kolkata"/>
    <s v="26-04-2013"/>
    <s v="Kings XI Punjab"/>
    <s v="Kolkata Knight Riders"/>
    <x v="3"/>
    <x v="1"/>
    <s v="normal"/>
    <n v="0"/>
    <x v="2"/>
    <n v="0"/>
    <n v="6"/>
    <s v="JH Kallis"/>
    <s v="Eden Gardens"/>
    <s v="CK Nandan"/>
    <s v="S Ravi"/>
    <m/>
  </r>
  <r>
    <n v="416"/>
    <x v="6"/>
    <s v="Jaipur"/>
    <s v="27-04-2013"/>
    <s v="Sunrisers Hyderabad"/>
    <s v="Rajasthan Royals"/>
    <x v="4"/>
    <x v="1"/>
    <s v="normal"/>
    <n v="0"/>
    <x v="9"/>
    <n v="0"/>
    <n v="8"/>
    <s v="JP Faulkner"/>
    <s v="Sawai Mansingh Stadium"/>
    <s v="VA Kulkarni"/>
    <s v="K Srinath"/>
    <m/>
  </r>
  <r>
    <n v="417"/>
    <x v="6"/>
    <s v="Mumbai"/>
    <s v="27-04-2013"/>
    <s v="Mumbai Indians"/>
    <s v="Royal Challengers Bangalore"/>
    <x v="5"/>
    <x v="1"/>
    <s v="normal"/>
    <n v="0"/>
    <x v="5"/>
    <n v="58"/>
    <n v="0"/>
    <s v="DR Smith"/>
    <s v="Wankhede Stadium"/>
    <s v="Asad Rauf"/>
    <s v="S Asnani"/>
    <m/>
  </r>
  <r>
    <n v="418"/>
    <x v="6"/>
    <s v="Chennai"/>
    <s v="28-04-2013"/>
    <s v="Chennai Super Kings"/>
    <s v="Kolkata Knight Riders"/>
    <x v="2"/>
    <x v="0"/>
    <s v="normal"/>
    <n v="0"/>
    <x v="8"/>
    <n v="14"/>
    <n v="0"/>
    <s v="MEK Hussey"/>
    <s v="MA Chidambaram Stadium, Chepauk"/>
    <s v="Aleem Dar"/>
    <s v="SJA Taufel"/>
    <m/>
  </r>
  <r>
    <n v="419"/>
    <x v="6"/>
    <s v="Raipur"/>
    <s v="28-04-2013"/>
    <s v="Delhi Daredevils"/>
    <s v="Pune Warriors"/>
    <x v="12"/>
    <x v="0"/>
    <s v="normal"/>
    <n v="0"/>
    <x v="6"/>
    <n v="15"/>
    <n v="0"/>
    <s v="DA Warner"/>
    <s v="Shaheed Veer Narayan Singh International Stadium"/>
    <s v="CK Nandan"/>
    <s v="S Ravi"/>
    <m/>
  </r>
  <r>
    <n v="420"/>
    <x v="6"/>
    <s v="Jaipur"/>
    <s v="29-04-2013"/>
    <s v="Royal Challengers Bangalore"/>
    <s v="Rajasthan Royals"/>
    <x v="9"/>
    <x v="0"/>
    <s v="normal"/>
    <n v="0"/>
    <x v="9"/>
    <n v="0"/>
    <n v="4"/>
    <s v="SV Samson"/>
    <s v="Sawai Mansingh Stadium"/>
    <s v="M Erasmus"/>
    <s v="K Srinath"/>
    <m/>
  </r>
  <r>
    <n v="421"/>
    <x v="6"/>
    <s v="Mumbai"/>
    <s v="29-04-2013"/>
    <s v="Mumbai Indians"/>
    <s v="Kings XI Punjab"/>
    <x v="5"/>
    <x v="1"/>
    <s v="normal"/>
    <n v="0"/>
    <x v="5"/>
    <n v="4"/>
    <n v="0"/>
    <s v="RG Sharma"/>
    <s v="Wankhede Stadium"/>
    <s v="Asad Rauf"/>
    <s v="AK Chaudhary"/>
    <m/>
  </r>
  <r>
    <n v="422"/>
    <x v="6"/>
    <s v="Pune"/>
    <s v="30-04-2013"/>
    <s v="Chennai Super Kings"/>
    <s v="Pune Warriors"/>
    <x v="8"/>
    <x v="1"/>
    <s v="normal"/>
    <n v="0"/>
    <x v="8"/>
    <n v="37"/>
    <n v="0"/>
    <s v="MS Dhoni"/>
    <s v="Subrata Roy Sahara Stadium"/>
    <s v="S Das"/>
    <s v="SJA Taufel"/>
    <m/>
  </r>
  <r>
    <n v="423"/>
    <x v="6"/>
    <s v="Hyderabad"/>
    <d v="2013-01-05T00:00:00"/>
    <s v="Mumbai Indians"/>
    <s v="Sunrisers Hyderabad"/>
    <x v="5"/>
    <x v="1"/>
    <s v="normal"/>
    <n v="0"/>
    <x v="0"/>
    <n v="0"/>
    <n v="7"/>
    <s v="I Sharma"/>
    <s v="Rajiv Gandhi International Stadium, Uppal"/>
    <s v="Asad Rauf"/>
    <s v="S Asnani"/>
    <m/>
  </r>
  <r>
    <n v="424"/>
    <x v="6"/>
    <s v="Raipur"/>
    <d v="2013-01-05T00:00:00"/>
    <s v="Kolkata Knight Riders"/>
    <s v="Delhi Daredevils"/>
    <x v="2"/>
    <x v="1"/>
    <s v="normal"/>
    <n v="0"/>
    <x v="6"/>
    <n v="0"/>
    <n v="7"/>
    <s v="DA Warner"/>
    <s v="Shaheed Veer Narayan Singh International Stadium"/>
    <s v="HDPK Dharmasena"/>
    <s v="CK Nandan"/>
    <m/>
  </r>
  <r>
    <n v="425"/>
    <x v="6"/>
    <s v="Chennai"/>
    <d v="2013-02-05T00:00:00"/>
    <s v="Chennai Super Kings"/>
    <s v="Kings XI Punjab"/>
    <x v="8"/>
    <x v="1"/>
    <s v="normal"/>
    <n v="0"/>
    <x v="8"/>
    <n v="15"/>
    <n v="0"/>
    <s v="SK Raina"/>
    <s v="MA Chidambaram Stadium, Chepauk"/>
    <s v="M Erasmus"/>
    <s v="VA Kulkarni"/>
    <m/>
  </r>
  <r>
    <n v="426"/>
    <x v="6"/>
    <s v="Pune"/>
    <d v="2013-02-05T00:00:00"/>
    <s v="Royal Challengers Bangalore"/>
    <s v="Pune Warriors"/>
    <x v="0"/>
    <x v="1"/>
    <s v="normal"/>
    <n v="0"/>
    <x v="4"/>
    <n v="17"/>
    <n v="0"/>
    <s v="AB de Villiers"/>
    <s v="Subrata Roy Sahara Stadium"/>
    <s v="Aleem Dar"/>
    <s v="C Shamshuddin"/>
    <m/>
  </r>
  <r>
    <n v="427"/>
    <x v="6"/>
    <s v="Kolkata"/>
    <d v="2013-03-05T00:00:00"/>
    <s v="Rajasthan Royals"/>
    <s v="Kolkata Knight Riders"/>
    <x v="9"/>
    <x v="1"/>
    <s v="normal"/>
    <n v="0"/>
    <x v="2"/>
    <n v="0"/>
    <n v="8"/>
    <s v="YK Pathan"/>
    <s v="Eden Gardens"/>
    <s v="HDPK Dharmasena"/>
    <s v="CK Nandan"/>
    <m/>
  </r>
  <r>
    <n v="428"/>
    <x v="6"/>
    <s v="Hyderabad"/>
    <d v="2013-04-05T00:00:00"/>
    <s v="Delhi Daredevils"/>
    <s v="Sunrisers Hyderabad"/>
    <x v="7"/>
    <x v="1"/>
    <s v="normal"/>
    <n v="0"/>
    <x v="0"/>
    <n v="0"/>
    <n v="6"/>
    <s v="DJG Sammy"/>
    <s v="Rajiv Gandhi International Stadium, Uppal"/>
    <s v="Asad Rauf"/>
    <s v="S Asnani"/>
    <m/>
  </r>
  <r>
    <n v="429"/>
    <x v="6"/>
    <s v="Bangalore"/>
    <s v="14-05-2013"/>
    <s v="Royal Challengers Bangalore"/>
    <s v="Kings XI Punjab"/>
    <x v="3"/>
    <x v="0"/>
    <s v="normal"/>
    <n v="0"/>
    <x v="3"/>
    <n v="0"/>
    <n v="7"/>
    <s v="AC Gilchrist"/>
    <s v="M Chinnaswamy Stadium"/>
    <s v="HDPK Dharmasena"/>
    <s v="S Ravi"/>
    <m/>
  </r>
  <r>
    <n v="430"/>
    <x v="6"/>
    <s v="Mumbai"/>
    <d v="2013-05-05T00:00:00"/>
    <s v="Mumbai Indians"/>
    <s v="Chennai Super Kings"/>
    <x v="5"/>
    <x v="1"/>
    <s v="normal"/>
    <n v="0"/>
    <x v="5"/>
    <n v="60"/>
    <n v="0"/>
    <s v="MG Johnson"/>
    <s v="Wankhede Stadium"/>
    <s v="HDPK Dharmasena"/>
    <s v="CK Nandan"/>
    <m/>
  </r>
  <r>
    <n v="431"/>
    <x v="6"/>
    <s v="Jaipur"/>
    <d v="2013-05-05T00:00:00"/>
    <s v="Pune Warriors"/>
    <s v="Rajasthan Royals"/>
    <x v="12"/>
    <x v="1"/>
    <s v="normal"/>
    <n v="0"/>
    <x v="9"/>
    <n v="0"/>
    <n v="5"/>
    <s v="AM Rahane"/>
    <s v="Sawai Mansingh Stadium"/>
    <s v="C Shamshuddin"/>
    <s v="RJ Tucker"/>
    <m/>
  </r>
  <r>
    <n v="432"/>
    <x v="6"/>
    <s v="Bangalore"/>
    <d v="2013-09-04T00:00:00"/>
    <s v="Sunrisers Hyderabad"/>
    <s v="Royal Challengers Bangalore"/>
    <x v="4"/>
    <x v="1"/>
    <s v="normal"/>
    <n v="0"/>
    <x v="4"/>
    <n v="0"/>
    <n v="7"/>
    <s v="V Kohli"/>
    <s v="M Chinnaswamy Stadium"/>
    <s v="S Ravi"/>
    <s v="SJA Taufel"/>
    <m/>
  </r>
  <r>
    <n v="433"/>
    <x v="6"/>
    <s v="Jaipur"/>
    <d v="2013-07-05T00:00:00"/>
    <s v="Delhi Daredevils"/>
    <s v="Rajasthan Royals"/>
    <x v="7"/>
    <x v="1"/>
    <s v="normal"/>
    <n v="0"/>
    <x v="9"/>
    <n v="0"/>
    <n v="9"/>
    <s v="AM Rahane"/>
    <s v="Sawai Mansingh Stadium"/>
    <s v="Aleem Dar"/>
    <s v="RJ Tucker"/>
    <m/>
  </r>
  <r>
    <n v="434"/>
    <x v="6"/>
    <s v="Mumbai"/>
    <d v="2013-07-05T00:00:00"/>
    <s v="Mumbai Indians"/>
    <s v="Kolkata Knight Riders"/>
    <x v="5"/>
    <x v="1"/>
    <s v="normal"/>
    <n v="0"/>
    <x v="5"/>
    <n v="65"/>
    <n v="0"/>
    <s v="SR Tendulkar"/>
    <s v="Wankhede Stadium"/>
    <s v="HDPK Dharmasena"/>
    <s v="S Ravi"/>
    <m/>
  </r>
  <r>
    <n v="435"/>
    <x v="6"/>
    <s v="Hyderabad"/>
    <d v="2013-08-05T00:00:00"/>
    <s v="Chennai Super Kings"/>
    <s v="Sunrisers Hyderabad"/>
    <x v="4"/>
    <x v="0"/>
    <s v="normal"/>
    <n v="0"/>
    <x v="8"/>
    <n v="77"/>
    <n v="0"/>
    <s v="SK Raina"/>
    <s v="Rajiv Gandhi International Stadium, Uppal"/>
    <s v="S Das"/>
    <s v="NJ Llong"/>
    <m/>
  </r>
  <r>
    <n v="436"/>
    <x v="6"/>
    <s v="Chandigarh"/>
    <d v="2013-09-05T00:00:00"/>
    <s v="Kings XI Punjab"/>
    <s v="Rajasthan Royals"/>
    <x v="9"/>
    <x v="0"/>
    <s v="normal"/>
    <n v="0"/>
    <x v="9"/>
    <n v="0"/>
    <n v="8"/>
    <s v="KK Cooper"/>
    <s v="Punjab Cricket Association Stadium, Mohali"/>
    <s v="HDPK Dharmasena"/>
    <s v="S Ravi"/>
    <m/>
  </r>
  <r>
    <n v="437"/>
    <x v="6"/>
    <s v="Pune"/>
    <d v="2013-09-05T00:00:00"/>
    <s v="Kolkata Knight Riders"/>
    <s v="Pune Warriors"/>
    <x v="2"/>
    <x v="1"/>
    <s v="normal"/>
    <n v="0"/>
    <x v="2"/>
    <n v="46"/>
    <n v="0"/>
    <s v="G Gambhir"/>
    <s v="Subrata Roy Sahara Stadium"/>
    <s v="Asad Rauf"/>
    <s v="S Asnani"/>
    <m/>
  </r>
  <r>
    <n v="438"/>
    <x v="6"/>
    <s v="Delhi"/>
    <d v="2013-10-05T00:00:00"/>
    <s v="Royal Challengers Bangalore"/>
    <s v="Delhi Daredevils"/>
    <x v="7"/>
    <x v="0"/>
    <s v="normal"/>
    <n v="0"/>
    <x v="4"/>
    <n v="4"/>
    <n v="0"/>
    <s v="JD Unadkat"/>
    <s v="Feroz Shah Kotla"/>
    <s v="NJ Llong"/>
    <s v="K Srinath"/>
    <m/>
  </r>
  <r>
    <n v="439"/>
    <x v="6"/>
    <s v="Pune"/>
    <d v="2013-11-05T00:00:00"/>
    <s v="Pune Warriors"/>
    <s v="Mumbai Indians"/>
    <x v="12"/>
    <x v="1"/>
    <s v="normal"/>
    <n v="0"/>
    <x v="5"/>
    <n v="0"/>
    <n v="5"/>
    <s v="MG Johnson"/>
    <s v="Subrata Roy Sahara Stadium"/>
    <s v="Asad Rauf"/>
    <s v="AK Chaudhary"/>
    <m/>
  </r>
  <r>
    <n v="440"/>
    <x v="6"/>
    <s v="Chandigarh"/>
    <d v="2013-11-05T00:00:00"/>
    <s v="Sunrisers Hyderabad"/>
    <s v="Kings XI Punjab"/>
    <x v="3"/>
    <x v="0"/>
    <s v="normal"/>
    <n v="0"/>
    <x v="0"/>
    <n v="30"/>
    <n v="0"/>
    <s v="PA Patel"/>
    <s v="Punjab Cricket Association Stadium, Mohali"/>
    <s v="S Das"/>
    <s v="RJ Tucker"/>
    <m/>
  </r>
  <r>
    <n v="441"/>
    <x v="6"/>
    <s v="Ranchi"/>
    <d v="2013-12-05T00:00:00"/>
    <s v="Royal Challengers Bangalore"/>
    <s v="Kolkata Knight Riders"/>
    <x v="2"/>
    <x v="0"/>
    <s v="normal"/>
    <n v="0"/>
    <x v="2"/>
    <n v="0"/>
    <n v="5"/>
    <s v="JH Kallis"/>
    <s v="JSCA International Stadium Complex"/>
    <s v="NJ Llong"/>
    <s v="K Srinath"/>
    <m/>
  </r>
  <r>
    <n v="442"/>
    <x v="6"/>
    <s v="Jaipur"/>
    <d v="2013-12-05T00:00:00"/>
    <s v="Chennai Super Kings"/>
    <s v="Rajasthan Royals"/>
    <x v="9"/>
    <x v="0"/>
    <s v="normal"/>
    <n v="0"/>
    <x v="9"/>
    <n v="0"/>
    <n v="5"/>
    <s v="SR Watson"/>
    <s v="Sawai Mansingh Stadium"/>
    <s v="HDPK Dharmasena"/>
    <s v="CK Nandan"/>
    <m/>
  </r>
  <r>
    <n v="443"/>
    <x v="6"/>
    <s v="Delhi"/>
    <s v="23-04-2013"/>
    <s v="Delhi Daredevils"/>
    <s v="Kings XI Punjab"/>
    <x v="3"/>
    <x v="0"/>
    <s v="normal"/>
    <n v="0"/>
    <x v="3"/>
    <n v="0"/>
    <n v="5"/>
    <s v="Harmeet Singh"/>
    <s v="Feroz Shah Kotla"/>
    <s v="VA Kulkarni"/>
    <s v="K Srinath"/>
    <m/>
  </r>
  <r>
    <n v="444"/>
    <x v="6"/>
    <s v="Mumbai"/>
    <s v="13-05-2013"/>
    <s v="Sunrisers Hyderabad"/>
    <s v="Mumbai Indians"/>
    <x v="4"/>
    <x v="1"/>
    <s v="normal"/>
    <n v="0"/>
    <x v="5"/>
    <n v="0"/>
    <n v="7"/>
    <s v="KA Pollard"/>
    <s v="Wankhede Stadium"/>
    <s v="AK Chaudhary"/>
    <s v="SJA Taufel"/>
    <m/>
  </r>
  <r>
    <n v="445"/>
    <x v="6"/>
    <s v="Ranchi"/>
    <s v="15-05-2013"/>
    <s v="Pune Warriors"/>
    <s v="Kolkata Knight Riders"/>
    <x v="2"/>
    <x v="0"/>
    <s v="normal"/>
    <n v="0"/>
    <x v="11"/>
    <n v="7"/>
    <n v="0"/>
    <s v="MK Pandey"/>
    <s v="JSCA International Stadium Complex"/>
    <s v="NJ Llong"/>
    <s v="K Srinath"/>
    <m/>
  </r>
  <r>
    <n v="446"/>
    <x v="6"/>
    <s v="Chennai"/>
    <s v="14-05-2013"/>
    <s v="Chennai Super Kings"/>
    <s v="Delhi Daredevils"/>
    <x v="8"/>
    <x v="1"/>
    <s v="normal"/>
    <n v="0"/>
    <x v="8"/>
    <n v="33"/>
    <n v="0"/>
    <s v="MS Dhoni"/>
    <s v="MA Chidambaram Stadium, Chepauk"/>
    <s v="C Shamshuddin"/>
    <s v="RJ Tucker"/>
    <m/>
  </r>
  <r>
    <n v="447"/>
    <x v="6"/>
    <s v="Mumbai"/>
    <s v="15-05-2013"/>
    <s v="Mumbai Indians"/>
    <s v="Rajasthan Royals"/>
    <x v="9"/>
    <x v="0"/>
    <s v="normal"/>
    <n v="0"/>
    <x v="5"/>
    <n v="14"/>
    <n v="0"/>
    <s v="AP Tare"/>
    <s v="Wankhede Stadium"/>
    <s v="Asad Rauf"/>
    <s v="S Asnani"/>
    <m/>
  </r>
  <r>
    <n v="448"/>
    <x v="6"/>
    <s v="Chandigarh"/>
    <d v="2013-06-05T00:00:00"/>
    <s v="Royal Challengers Bangalore"/>
    <s v="Kings XI Punjab"/>
    <x v="3"/>
    <x v="0"/>
    <s v="normal"/>
    <n v="0"/>
    <x v="3"/>
    <n v="0"/>
    <n v="6"/>
    <s v="DA Miller"/>
    <s v="Punjab Cricket Association Stadium, Mohali"/>
    <s v="VA Kulkarni"/>
    <s v="NJ Llong"/>
    <m/>
  </r>
  <r>
    <n v="449"/>
    <x v="6"/>
    <s v="Hyderabad"/>
    <s v="17-05-2013"/>
    <s v="Sunrisers Hyderabad"/>
    <s v="Rajasthan Royals"/>
    <x v="4"/>
    <x v="1"/>
    <s v="normal"/>
    <n v="0"/>
    <x v="0"/>
    <n v="23"/>
    <n v="0"/>
    <s v="A Mishra"/>
    <s v="Rajiv Gandhi International Stadium, Uppal"/>
    <s v="Asad Rauf"/>
    <s v="AK Chaudhary"/>
    <m/>
  </r>
  <r>
    <n v="450"/>
    <x v="6"/>
    <s v="Dharamsala"/>
    <s v="18-05-2013"/>
    <s v="Kings XI Punjab"/>
    <s v="Mumbai Indians"/>
    <x v="5"/>
    <x v="0"/>
    <s v="normal"/>
    <n v="0"/>
    <x v="3"/>
    <n v="50"/>
    <n v="0"/>
    <s v="Azhar Mahmood"/>
    <s v="Himachal Pradesh Cricket Association Stadium"/>
    <s v="HDPK Dharmasena"/>
    <s v="CK Nandan"/>
    <m/>
  </r>
  <r>
    <n v="451"/>
    <x v="6"/>
    <s v="Pune"/>
    <s v="19-05-2013"/>
    <s v="Pune Warriors"/>
    <s v="Delhi Daredevils"/>
    <x v="12"/>
    <x v="1"/>
    <s v="normal"/>
    <n v="0"/>
    <x v="11"/>
    <n v="38"/>
    <n v="0"/>
    <s v="LJ Wright"/>
    <s v="Subrata Roy Sahara Stadium"/>
    <s v="NJ Llong"/>
    <s v="SJA Taufel"/>
    <m/>
  </r>
  <r>
    <n v="452"/>
    <x v="6"/>
    <s v="Bangalore"/>
    <s v="18-05-2013"/>
    <s v="Royal Challengers Bangalore"/>
    <s v="Chennai Super Kings"/>
    <x v="8"/>
    <x v="0"/>
    <s v="normal"/>
    <n v="0"/>
    <x v="4"/>
    <n v="24"/>
    <n v="0"/>
    <s v="V Kohli"/>
    <s v="M Chinnaswamy Stadium"/>
    <s v="C Shamshuddin"/>
    <s v="RJ Tucker"/>
    <m/>
  </r>
  <r>
    <n v="453"/>
    <x v="6"/>
    <s v="Hyderabad"/>
    <s v="19-05-2013"/>
    <s v="Kolkata Knight Riders"/>
    <s v="Sunrisers Hyderabad"/>
    <x v="2"/>
    <x v="1"/>
    <s v="normal"/>
    <n v="0"/>
    <x v="0"/>
    <n v="0"/>
    <n v="5"/>
    <s v="PA Patel"/>
    <s v="Rajiv Gandhi International Stadium, Uppal"/>
    <s v="Asad Rauf"/>
    <s v="S Asnani"/>
    <m/>
  </r>
  <r>
    <n v="454"/>
    <x v="6"/>
    <s v="Delhi"/>
    <s v="21-05-2013"/>
    <s v="Chennai Super Kings"/>
    <s v="Mumbai Indians"/>
    <x v="8"/>
    <x v="1"/>
    <s v="normal"/>
    <n v="0"/>
    <x v="8"/>
    <n v="48"/>
    <n v="0"/>
    <s v="MEK Hussey"/>
    <s v="Feroz Shah Kotla"/>
    <s v="NJ Llong"/>
    <s v="RJ Tucker"/>
    <m/>
  </r>
  <r>
    <n v="455"/>
    <x v="6"/>
    <s v="Delhi"/>
    <s v="22-05-2013"/>
    <s v="Sunrisers Hyderabad"/>
    <s v="Rajasthan Royals"/>
    <x v="4"/>
    <x v="1"/>
    <s v="normal"/>
    <n v="0"/>
    <x v="9"/>
    <n v="0"/>
    <n v="4"/>
    <s v="BJ Hodge"/>
    <s v="Feroz Shah Kotla"/>
    <s v="S Ravi"/>
    <s v="RJ Tucker"/>
    <m/>
  </r>
  <r>
    <n v="456"/>
    <x v="6"/>
    <s v="Kolkata"/>
    <s v="24-05-2013"/>
    <s v="Rajasthan Royals"/>
    <s v="Mumbai Indians"/>
    <x v="9"/>
    <x v="1"/>
    <s v="normal"/>
    <n v="0"/>
    <x v="5"/>
    <n v="0"/>
    <n v="4"/>
    <s v="Harbhajan Singh"/>
    <s v="Eden Gardens"/>
    <s v="C Shamshuddin"/>
    <s v="SJA Taufel"/>
    <m/>
  </r>
  <r>
    <n v="457"/>
    <x v="6"/>
    <s v="Kolkata"/>
    <s v="26-05-2013"/>
    <s v="Mumbai Indians"/>
    <s v="Chennai Super Kings"/>
    <x v="5"/>
    <x v="1"/>
    <s v="normal"/>
    <n v="0"/>
    <x v="5"/>
    <n v="23"/>
    <n v="0"/>
    <s v="KA Pollard"/>
    <s v="Eden Gardens"/>
    <s v="HDPK Dharmasena"/>
    <s v="SJA Taufel"/>
    <m/>
  </r>
  <r>
    <n v="458"/>
    <x v="7"/>
    <s v="Abu Dhabi"/>
    <s v="16-04-2014"/>
    <s v="Kolkata Knight Riders"/>
    <s v="Mumbai Indians"/>
    <x v="2"/>
    <x v="1"/>
    <s v="normal"/>
    <n v="0"/>
    <x v="2"/>
    <n v="41"/>
    <n v="0"/>
    <s v="JH Kallis"/>
    <s v="Sheikh Zayed Stadium"/>
    <s v="M Erasmus"/>
    <s v="RK Illingworth"/>
    <m/>
  </r>
  <r>
    <n v="459"/>
    <x v="7"/>
    <s v="Sharjah"/>
    <s v="17-04-2014"/>
    <s v="Delhi Daredevils"/>
    <s v="Royal Challengers Bangalore"/>
    <x v="0"/>
    <x v="0"/>
    <s v="normal"/>
    <n v="0"/>
    <x v="4"/>
    <n v="0"/>
    <n v="8"/>
    <s v="YS Chahal"/>
    <s v="Sharjah Cricket Stadium"/>
    <s v="Aleem Dar"/>
    <s v="S Ravi"/>
    <m/>
  </r>
  <r>
    <n v="460"/>
    <x v="7"/>
    <s v="Abu Dhabi"/>
    <s v="18-04-2014"/>
    <s v="Chennai Super Kings"/>
    <s v="Kings XI Punjab"/>
    <x v="8"/>
    <x v="1"/>
    <s v="normal"/>
    <n v="0"/>
    <x v="3"/>
    <n v="0"/>
    <n v="6"/>
    <s v="GJ Maxwell"/>
    <s v="Sheikh Zayed Stadium"/>
    <s v="RK Illingworth"/>
    <s v="C Shamshuddin"/>
    <m/>
  </r>
  <r>
    <n v="461"/>
    <x v="7"/>
    <s v="Abu Dhabi"/>
    <s v="18-04-2014"/>
    <s v="Sunrisers Hyderabad"/>
    <s v="Rajasthan Royals"/>
    <x v="9"/>
    <x v="0"/>
    <s v="normal"/>
    <n v="0"/>
    <x v="9"/>
    <n v="0"/>
    <n v="4"/>
    <s v="AM Rahane"/>
    <s v="Sheikh Zayed Stadium"/>
    <s v="BF Bowden"/>
    <s v="RK Illingworth"/>
    <m/>
  </r>
  <r>
    <n v="462"/>
    <x v="7"/>
    <m/>
    <s v="19-04-2014"/>
    <s v="Mumbai Indians"/>
    <s v="Royal Challengers Bangalore"/>
    <x v="0"/>
    <x v="0"/>
    <s v="normal"/>
    <n v="0"/>
    <x v="4"/>
    <n v="0"/>
    <n v="7"/>
    <s v="PA Patel"/>
    <s v="Dubai International Cricket Stadium"/>
    <s v="Aleem Dar"/>
    <s v="AK Chaudhary"/>
    <m/>
  </r>
  <r>
    <n v="463"/>
    <x v="7"/>
    <m/>
    <s v="19-04-2014"/>
    <s v="Kolkata Knight Riders"/>
    <s v="Delhi Daredevils"/>
    <x v="2"/>
    <x v="1"/>
    <s v="normal"/>
    <n v="0"/>
    <x v="6"/>
    <n v="0"/>
    <n v="4"/>
    <s v="JP Duminy"/>
    <s v="Dubai International Cricket Stadium"/>
    <s v="Aleem Dar"/>
    <s v="VA Kulkarni"/>
    <m/>
  </r>
  <r>
    <n v="464"/>
    <x v="7"/>
    <s v="Sharjah"/>
    <s v="20-04-2014"/>
    <s v="Rajasthan Royals"/>
    <s v="Kings XI Punjab"/>
    <x v="3"/>
    <x v="0"/>
    <s v="normal"/>
    <n v="0"/>
    <x v="3"/>
    <n v="0"/>
    <n v="7"/>
    <s v="GJ Maxwell"/>
    <s v="Sharjah Cricket Stadium"/>
    <s v="BF Bowden"/>
    <s v="M Erasmus"/>
    <m/>
  </r>
  <r>
    <n v="465"/>
    <x v="7"/>
    <s v="Abu Dhabi"/>
    <s v="21-04-2014"/>
    <s v="Chennai Super Kings"/>
    <s v="Delhi Daredevils"/>
    <x v="8"/>
    <x v="1"/>
    <s v="normal"/>
    <n v="0"/>
    <x v="8"/>
    <n v="93"/>
    <n v="0"/>
    <s v="SK Raina"/>
    <s v="Sheikh Zayed Stadium"/>
    <s v="RK Illingworth"/>
    <s v="C Shamshuddin"/>
    <m/>
  </r>
  <r>
    <n v="466"/>
    <x v="7"/>
    <s v="Sharjah"/>
    <s v="22-04-2014"/>
    <s v="Kings XI Punjab"/>
    <s v="Sunrisers Hyderabad"/>
    <x v="4"/>
    <x v="0"/>
    <s v="normal"/>
    <n v="0"/>
    <x v="3"/>
    <n v="72"/>
    <n v="0"/>
    <s v="GJ Maxwell"/>
    <s v="Sharjah Cricket Stadium"/>
    <s v="M Erasmus"/>
    <s v="S Ravi"/>
    <m/>
  </r>
  <r>
    <n v="467"/>
    <x v="7"/>
    <m/>
    <s v="23-04-2014"/>
    <s v="Chennai Super Kings"/>
    <s v="Rajasthan Royals"/>
    <x v="9"/>
    <x v="0"/>
    <s v="normal"/>
    <n v="0"/>
    <x v="8"/>
    <n v="7"/>
    <n v="0"/>
    <s v="RA Jadeja"/>
    <s v="Dubai International Cricket Stadium"/>
    <s v="HDPK Dharmasena"/>
    <s v="RK Illingworth"/>
    <m/>
  </r>
  <r>
    <n v="468"/>
    <x v="7"/>
    <s v="Sharjah"/>
    <s v="24-04-2014"/>
    <s v="Kolkata Knight Riders"/>
    <s v="Royal Challengers Bangalore"/>
    <x v="0"/>
    <x v="0"/>
    <s v="normal"/>
    <n v="0"/>
    <x v="2"/>
    <n v="2"/>
    <n v="0"/>
    <s v="CA Lynn"/>
    <s v="Sharjah Cricket Stadium"/>
    <s v="Aleem Dar"/>
    <s v="VA Kulkarni"/>
    <m/>
  </r>
  <r>
    <n v="469"/>
    <x v="7"/>
    <m/>
    <s v="25-04-2014"/>
    <s v="Sunrisers Hyderabad"/>
    <s v="Delhi Daredevils"/>
    <x v="4"/>
    <x v="1"/>
    <s v="normal"/>
    <n v="0"/>
    <x v="0"/>
    <n v="4"/>
    <n v="0"/>
    <s v="AJ Finch"/>
    <s v="Dubai International Cricket Stadium"/>
    <s v="M Erasmus"/>
    <s v="S Ravi"/>
    <m/>
  </r>
  <r>
    <n v="470"/>
    <x v="7"/>
    <m/>
    <s v="25-04-2014"/>
    <s v="Mumbai Indians"/>
    <s v="Chennai Super Kings"/>
    <x v="5"/>
    <x v="1"/>
    <s v="normal"/>
    <n v="0"/>
    <x v="8"/>
    <n v="0"/>
    <n v="7"/>
    <s v="MM Sharma"/>
    <s v="Dubai International Cricket Stadium"/>
    <s v="BF Bowden"/>
    <s v="M Erasmus"/>
    <m/>
  </r>
  <r>
    <n v="471"/>
    <x v="7"/>
    <s v="Abu Dhabi"/>
    <s v="26-04-2014"/>
    <s v="Royal Challengers Bangalore"/>
    <s v="Rajasthan Royals"/>
    <x v="9"/>
    <x v="0"/>
    <s v="normal"/>
    <n v="0"/>
    <x v="9"/>
    <n v="0"/>
    <n v="6"/>
    <s v="PV Tambe"/>
    <s v="Sheikh Zayed Stadium"/>
    <s v="HDPK Dharmasena"/>
    <s v="C Shamshuddin"/>
    <m/>
  </r>
  <r>
    <n v="472"/>
    <x v="7"/>
    <s v="Abu Dhabi"/>
    <s v="26-04-2014"/>
    <s v="Kings XI Punjab"/>
    <s v="Kolkata Knight Riders"/>
    <x v="2"/>
    <x v="0"/>
    <s v="normal"/>
    <n v="0"/>
    <x v="3"/>
    <n v="23"/>
    <n v="0"/>
    <s v="Sandeep Sharma"/>
    <s v="Sheikh Zayed Stadium"/>
    <s v="HDPK Dharmasena"/>
    <s v="RK Illingworth"/>
    <m/>
  </r>
  <r>
    <n v="473"/>
    <x v="7"/>
    <s v="Sharjah"/>
    <s v="27-04-2014"/>
    <s v="Mumbai Indians"/>
    <s v="Delhi Daredevils"/>
    <x v="5"/>
    <x v="1"/>
    <s v="normal"/>
    <n v="0"/>
    <x v="6"/>
    <n v="0"/>
    <n v="6"/>
    <s v="M Vijay"/>
    <s v="Sharjah Cricket Stadium"/>
    <s v="Aleem Dar"/>
    <s v="VA Kulkarni"/>
    <m/>
  </r>
  <r>
    <n v="474"/>
    <x v="7"/>
    <s v="Sharjah"/>
    <s v="27-04-2014"/>
    <s v="Sunrisers Hyderabad"/>
    <s v="Chennai Super Kings"/>
    <x v="4"/>
    <x v="1"/>
    <s v="normal"/>
    <n v="0"/>
    <x v="8"/>
    <n v="0"/>
    <n v="5"/>
    <s v="DR Smith"/>
    <s v="Sharjah Cricket Stadium"/>
    <s v="AK Chaudhary"/>
    <s v="VA Kulkarni"/>
    <m/>
  </r>
  <r>
    <n v="475"/>
    <x v="7"/>
    <m/>
    <s v="28-04-2014"/>
    <s v="Royal Challengers Bangalore"/>
    <s v="Kings XI Punjab"/>
    <x v="3"/>
    <x v="0"/>
    <s v="normal"/>
    <n v="0"/>
    <x v="3"/>
    <n v="0"/>
    <n v="5"/>
    <s v="Sandeep Sharma"/>
    <s v="Dubai International Cricket Stadium"/>
    <s v="BF Bowden"/>
    <s v="S Ravi"/>
    <m/>
  </r>
  <r>
    <n v="476"/>
    <x v="7"/>
    <s v="Abu Dhabi"/>
    <s v="29-04-2014"/>
    <s v="Rajasthan Royals"/>
    <s v="Kolkata Knight Riders"/>
    <x v="9"/>
    <x v="1"/>
    <s v="tie"/>
    <n v="0"/>
    <x v="9"/>
    <n v="0"/>
    <n v="0"/>
    <s v="JP Faulkner"/>
    <s v="Sheikh Zayed Stadium"/>
    <s v="Aleem Dar"/>
    <s v="AK Chaudhary"/>
    <m/>
  </r>
  <r>
    <n v="477"/>
    <x v="7"/>
    <m/>
    <s v="30-04-2014"/>
    <s v="Sunrisers Hyderabad"/>
    <s v="Mumbai Indians"/>
    <x v="5"/>
    <x v="0"/>
    <s v="normal"/>
    <n v="0"/>
    <x v="0"/>
    <n v="15"/>
    <n v="0"/>
    <s v="B Kumar"/>
    <s v="Dubai International Cricket Stadium"/>
    <s v="HDPK Dharmasena"/>
    <s v="M Erasmus"/>
    <m/>
  </r>
  <r>
    <n v="478"/>
    <x v="7"/>
    <s v="Ranchi"/>
    <d v="2014-02-05T00:00:00"/>
    <s v="Chennai Super Kings"/>
    <s v="Kolkata Knight Riders"/>
    <x v="8"/>
    <x v="1"/>
    <s v="normal"/>
    <n v="0"/>
    <x v="8"/>
    <n v="34"/>
    <n v="0"/>
    <s v="RA Jadeja"/>
    <s v="JSCA International Stadium Complex"/>
    <s v="AK Chaudhary"/>
    <s v="NJ Llong"/>
    <m/>
  </r>
  <r>
    <n v="479"/>
    <x v="7"/>
    <s v="Mumbai"/>
    <d v="2014-03-05T00:00:00"/>
    <s v="Kings XI Punjab"/>
    <s v="Mumbai Indians"/>
    <x v="3"/>
    <x v="1"/>
    <s v="normal"/>
    <n v="0"/>
    <x v="5"/>
    <n v="0"/>
    <n v="5"/>
    <s v="CJ Anderson"/>
    <s v="Wankhede Stadium"/>
    <s v="BNJ Oxenford"/>
    <s v="C Shamshuddin"/>
    <m/>
  </r>
  <r>
    <n v="480"/>
    <x v="7"/>
    <s v="Delhi"/>
    <d v="2014-03-05T00:00:00"/>
    <s v="Delhi Daredevils"/>
    <s v="Rajasthan Royals"/>
    <x v="9"/>
    <x v="0"/>
    <s v="normal"/>
    <n v="0"/>
    <x v="9"/>
    <n v="0"/>
    <n v="7"/>
    <s v="KK Nair"/>
    <s v="Feroz Shah Kotla"/>
    <s v="SS Hazare"/>
    <s v="S Ravi"/>
    <m/>
  </r>
  <r>
    <n v="481"/>
    <x v="7"/>
    <s v="Bangalore"/>
    <d v="2014-04-05T00:00:00"/>
    <s v="Sunrisers Hyderabad"/>
    <s v="Royal Challengers Bangalore"/>
    <x v="0"/>
    <x v="0"/>
    <s v="normal"/>
    <n v="0"/>
    <x v="4"/>
    <n v="0"/>
    <n v="4"/>
    <s v="AB de Villiers"/>
    <s v="M Chinnaswamy Stadium"/>
    <s v="HDPK Dharmasena"/>
    <s v="VA Kulkarni"/>
    <m/>
  </r>
  <r>
    <n v="482"/>
    <x v="7"/>
    <s v="Ahmedabad"/>
    <d v="2014-05-05T00:00:00"/>
    <s v="Rajasthan Royals"/>
    <s v="Kolkata Knight Riders"/>
    <x v="2"/>
    <x v="0"/>
    <s v="normal"/>
    <n v="0"/>
    <x v="9"/>
    <n v="10"/>
    <n v="0"/>
    <s v="PV Tambe"/>
    <s v="Sardar Patel Stadium, Motera"/>
    <s v="NJ Llong"/>
    <s v="CK Nandan"/>
    <m/>
  </r>
  <r>
    <n v="483"/>
    <x v="7"/>
    <s v="Delhi"/>
    <d v="2014-05-05T00:00:00"/>
    <s v="Delhi Daredevils"/>
    <s v="Chennai Super Kings"/>
    <x v="8"/>
    <x v="0"/>
    <s v="normal"/>
    <n v="0"/>
    <x v="8"/>
    <n v="0"/>
    <n v="8"/>
    <s v="DR Smith"/>
    <s v="Feroz Shah Kotla"/>
    <s v="RM Deshpande"/>
    <s v="BNJ Oxenford"/>
    <m/>
  </r>
  <r>
    <n v="484"/>
    <x v="7"/>
    <s v="Mumbai"/>
    <d v="2014-06-05T00:00:00"/>
    <s v="Mumbai Indians"/>
    <s v="Royal Challengers Bangalore"/>
    <x v="0"/>
    <x v="0"/>
    <s v="normal"/>
    <n v="0"/>
    <x v="5"/>
    <n v="19"/>
    <n v="0"/>
    <s v="RG Sharma"/>
    <s v="Wankhede Stadium"/>
    <s v="S Ravi"/>
    <s v="K Srinath"/>
    <m/>
  </r>
  <r>
    <n v="485"/>
    <x v="7"/>
    <s v="Delhi"/>
    <d v="2014-07-05T00:00:00"/>
    <s v="Delhi Daredevils"/>
    <s v="Kolkata Knight Riders"/>
    <x v="7"/>
    <x v="1"/>
    <s v="normal"/>
    <n v="0"/>
    <x v="2"/>
    <n v="0"/>
    <n v="8"/>
    <s v="G Gambhir"/>
    <s v="Feroz Shah Kotla"/>
    <s v="BNJ Oxenford"/>
    <s v="C Shamshuddin"/>
    <m/>
  </r>
  <r>
    <n v="486"/>
    <x v="7"/>
    <s v="Cuttack"/>
    <d v="2014-07-05T00:00:00"/>
    <s v="Kings XI Punjab"/>
    <s v="Chennai Super Kings"/>
    <x v="8"/>
    <x v="0"/>
    <s v="normal"/>
    <n v="0"/>
    <x v="3"/>
    <n v="44"/>
    <n v="0"/>
    <s v="GJ Maxwell"/>
    <s v="Barabati Stadium"/>
    <s v="HDPK Dharmasena"/>
    <s v="PG Pathak"/>
    <m/>
  </r>
  <r>
    <n v="487"/>
    <x v="7"/>
    <s v="Ahmedabad"/>
    <d v="2014-08-05T00:00:00"/>
    <s v="Sunrisers Hyderabad"/>
    <s v="Rajasthan Royals"/>
    <x v="9"/>
    <x v="0"/>
    <s v="normal"/>
    <n v="0"/>
    <x v="0"/>
    <n v="32"/>
    <n v="0"/>
    <s v="B Kumar"/>
    <s v="Sardar Patel Stadium, Motera"/>
    <s v="AK Chaudhary"/>
    <s v="NJ Llong"/>
    <m/>
  </r>
  <r>
    <n v="488"/>
    <x v="7"/>
    <s v="Bangalore"/>
    <d v="2014-09-05T00:00:00"/>
    <s v="Kings XI Punjab"/>
    <s v="Royal Challengers Bangalore"/>
    <x v="0"/>
    <x v="0"/>
    <s v="normal"/>
    <n v="0"/>
    <x v="3"/>
    <n v="32"/>
    <n v="0"/>
    <s v="Sandeep Sharma"/>
    <s v="M Chinnaswamy Stadium"/>
    <s v="S Ravi"/>
    <s v="K Srinath"/>
    <m/>
  </r>
  <r>
    <n v="489"/>
    <x v="7"/>
    <s v="Delhi"/>
    <d v="2014-10-05T00:00:00"/>
    <s v="Delhi Daredevils"/>
    <s v="Sunrisers Hyderabad"/>
    <x v="4"/>
    <x v="0"/>
    <s v="normal"/>
    <n v="1"/>
    <x v="0"/>
    <n v="0"/>
    <n v="8"/>
    <s v="DW Steyn"/>
    <s v="Feroz Shah Kotla"/>
    <s v="RM Deshpande"/>
    <s v="BNJ Oxenford"/>
    <m/>
  </r>
  <r>
    <n v="490"/>
    <x v="7"/>
    <s v="Mumbai"/>
    <d v="2014-10-05T00:00:00"/>
    <s v="Mumbai Indians"/>
    <s v="Chennai Super Kings"/>
    <x v="8"/>
    <x v="0"/>
    <s v="normal"/>
    <n v="0"/>
    <x v="8"/>
    <n v="0"/>
    <n v="4"/>
    <s v="DR Smith"/>
    <s v="Wankhede Stadium"/>
    <s v="HDPK Dharmasena"/>
    <s v="VA Kulkarni"/>
    <m/>
  </r>
  <r>
    <n v="491"/>
    <x v="7"/>
    <s v="Cuttack"/>
    <d v="2014-11-05T00:00:00"/>
    <s v="Kings XI Punjab"/>
    <s v="Kolkata Knight Riders"/>
    <x v="2"/>
    <x v="0"/>
    <s v="normal"/>
    <n v="0"/>
    <x v="2"/>
    <n v="0"/>
    <n v="9"/>
    <s v="G Gambhir"/>
    <s v="Barabati Stadium"/>
    <s v="NJ Llong"/>
    <s v="CK Nandan"/>
    <m/>
  </r>
  <r>
    <n v="492"/>
    <x v="7"/>
    <s v="Bangalore"/>
    <d v="2014-11-05T00:00:00"/>
    <s v="Royal Challengers Bangalore"/>
    <s v="Rajasthan Royals"/>
    <x v="0"/>
    <x v="1"/>
    <s v="normal"/>
    <n v="0"/>
    <x v="9"/>
    <n v="0"/>
    <n v="5"/>
    <s v="JP Faulkner"/>
    <s v="M Chinnaswamy Stadium"/>
    <s v="S Ravi"/>
    <s v="RJ Tucker"/>
    <m/>
  </r>
  <r>
    <n v="493"/>
    <x v="7"/>
    <s v="Hyderabad"/>
    <d v="2014-12-05T00:00:00"/>
    <s v="Sunrisers Hyderabad"/>
    <s v="Mumbai Indians"/>
    <x v="4"/>
    <x v="1"/>
    <s v="normal"/>
    <n v="0"/>
    <x v="5"/>
    <n v="0"/>
    <n v="7"/>
    <s v="AT Rayudu"/>
    <s v="Rajiv Gandhi International Stadium, Uppal"/>
    <s v="HDPK Dharmasena"/>
    <s v="VA Kulkarni"/>
    <m/>
  </r>
  <r>
    <n v="494"/>
    <x v="7"/>
    <s v="Ranchi"/>
    <s v="13-05-2014"/>
    <s v="Rajasthan Royals"/>
    <s v="Chennai Super Kings"/>
    <x v="9"/>
    <x v="1"/>
    <s v="normal"/>
    <n v="0"/>
    <x v="8"/>
    <n v="0"/>
    <n v="5"/>
    <s v="RA Jadeja"/>
    <s v="JSCA International Stadium Complex"/>
    <s v="BNJ Oxenford"/>
    <s v="C Shamshuddin"/>
    <m/>
  </r>
  <r>
    <n v="495"/>
    <x v="7"/>
    <s v="Bangalore"/>
    <s v="13-05-2014"/>
    <s v="Royal Challengers Bangalore"/>
    <s v="Delhi Daredevils"/>
    <x v="7"/>
    <x v="0"/>
    <s v="normal"/>
    <n v="0"/>
    <x v="4"/>
    <n v="16"/>
    <n v="0"/>
    <s v="Yuvraj Singh"/>
    <s v="M Chinnaswamy Stadium"/>
    <s v="K Srinath"/>
    <s v="RJ Tucker"/>
    <m/>
  </r>
  <r>
    <n v="496"/>
    <x v="7"/>
    <s v="Hyderabad"/>
    <s v="14-05-2014"/>
    <s v="Sunrisers Hyderabad"/>
    <s v="Kings XI Punjab"/>
    <x v="3"/>
    <x v="0"/>
    <s v="normal"/>
    <n v="0"/>
    <x v="3"/>
    <n v="0"/>
    <n v="6"/>
    <s v="WP Saha"/>
    <s v="Rajiv Gandhi International Stadium, Uppal"/>
    <s v="VA Kulkarni"/>
    <s v="PG Pathak"/>
    <m/>
  </r>
  <r>
    <n v="497"/>
    <x v="7"/>
    <s v="Cuttack"/>
    <s v="14-05-2014"/>
    <s v="Mumbai Indians"/>
    <s v="Kolkata Knight Riders"/>
    <x v="2"/>
    <x v="0"/>
    <s v="normal"/>
    <n v="0"/>
    <x v="2"/>
    <n v="0"/>
    <n v="6"/>
    <s v="RV Uthappa"/>
    <s v="Barabati Stadium"/>
    <s v="AK Chaudhary"/>
    <s v="NJ Llong"/>
    <m/>
  </r>
  <r>
    <n v="498"/>
    <x v="7"/>
    <s v="Ahmedabad"/>
    <s v="15-05-2014"/>
    <s v="Rajasthan Royals"/>
    <s v="Delhi Daredevils"/>
    <x v="7"/>
    <x v="0"/>
    <s v="normal"/>
    <n v="0"/>
    <x v="9"/>
    <n v="62"/>
    <n v="0"/>
    <s v="AM Rahane"/>
    <s v="Sardar Patel Stadium, Motera"/>
    <s v="S Ravi"/>
    <s v="RJ Tucker"/>
    <m/>
  </r>
  <r>
    <n v="499"/>
    <x v="7"/>
    <s v="Ranchi"/>
    <s v="18-05-2014"/>
    <s v="Chennai Super Kings"/>
    <s v="Royal Challengers Bangalore"/>
    <x v="8"/>
    <x v="1"/>
    <s v="normal"/>
    <n v="0"/>
    <x v="4"/>
    <n v="0"/>
    <n v="5"/>
    <s v="AB de Villiers"/>
    <s v="JSCA International Stadium Complex"/>
    <s v="BNJ Oxenford"/>
    <s v="C Shamshuddin"/>
    <m/>
  </r>
  <r>
    <n v="500"/>
    <x v="7"/>
    <s v="Hyderabad"/>
    <s v="18-05-2014"/>
    <s v="Sunrisers Hyderabad"/>
    <s v="Kolkata Knight Riders"/>
    <x v="4"/>
    <x v="1"/>
    <s v="normal"/>
    <n v="0"/>
    <x v="2"/>
    <n v="0"/>
    <n v="7"/>
    <s v="UT Yadav"/>
    <s v="Rajiv Gandhi International Stadium, Uppal"/>
    <s v="NJ Llong"/>
    <s v="CK Nandan"/>
    <m/>
  </r>
  <r>
    <n v="501"/>
    <x v="7"/>
    <s v="Ahmedabad"/>
    <s v="19-05-2014"/>
    <s v="Mumbai Indians"/>
    <s v="Rajasthan Royals"/>
    <x v="5"/>
    <x v="1"/>
    <s v="normal"/>
    <n v="0"/>
    <x v="5"/>
    <n v="25"/>
    <n v="0"/>
    <s v="MEK Hussey"/>
    <s v="Sardar Patel Stadium, Motera"/>
    <s v="S Ravi"/>
    <s v="RJ Tucker"/>
    <m/>
  </r>
  <r>
    <n v="502"/>
    <x v="7"/>
    <s v="Delhi"/>
    <s v="19-05-2014"/>
    <s v="Delhi Daredevils"/>
    <s v="Kings XI Punjab"/>
    <x v="3"/>
    <x v="0"/>
    <s v="normal"/>
    <n v="0"/>
    <x v="3"/>
    <n v="0"/>
    <n v="4"/>
    <s v="AR Patel"/>
    <s v="Feroz Shah Kotla"/>
    <s v="HDPK Dharmasena"/>
    <s v="PG Pathak"/>
    <m/>
  </r>
  <r>
    <n v="503"/>
    <x v="7"/>
    <s v="Hyderabad"/>
    <s v="20-05-2014"/>
    <s v="Royal Challengers Bangalore"/>
    <s v="Sunrisers Hyderabad"/>
    <x v="0"/>
    <x v="1"/>
    <s v="normal"/>
    <n v="0"/>
    <x v="0"/>
    <n v="0"/>
    <n v="7"/>
    <s v="DA Warner"/>
    <s v="Rajiv Gandhi International Stadium, Uppal"/>
    <s v="AK Chaudhary"/>
    <s v="NJ Llong"/>
    <m/>
  </r>
  <r>
    <n v="504"/>
    <x v="7"/>
    <s v="Kolkata"/>
    <s v="20-05-2014"/>
    <s v="Chennai Super Kings"/>
    <s v="Kolkata Knight Riders"/>
    <x v="2"/>
    <x v="0"/>
    <s v="normal"/>
    <n v="0"/>
    <x v="2"/>
    <n v="0"/>
    <n v="8"/>
    <s v="RV Uthappa"/>
    <s v="Eden Gardens"/>
    <s v="RM Deshpande"/>
    <s v="C Shamshuddin"/>
    <m/>
  </r>
  <r>
    <n v="505"/>
    <x v="7"/>
    <s v="Chandigarh"/>
    <s v="21-05-2014"/>
    <s v="Kings XI Punjab"/>
    <s v="Mumbai Indians"/>
    <x v="5"/>
    <x v="0"/>
    <s v="normal"/>
    <n v="0"/>
    <x v="5"/>
    <n v="0"/>
    <n v="7"/>
    <s v="LMP Simmons"/>
    <s v="Punjab Cricket Association Stadium, Mohali"/>
    <s v="HDPK Dharmasena"/>
    <s v="VA Kulkarni"/>
    <m/>
  </r>
  <r>
    <n v="506"/>
    <x v="7"/>
    <s v="Kolkata"/>
    <s v="22-05-2014"/>
    <s v="Kolkata Knight Riders"/>
    <s v="Royal Challengers Bangalore"/>
    <x v="0"/>
    <x v="0"/>
    <s v="normal"/>
    <n v="0"/>
    <x v="2"/>
    <n v="30"/>
    <n v="0"/>
    <s v="RV Uthappa"/>
    <s v="Eden Gardens"/>
    <s v="AK Chaudhary"/>
    <s v="CK Nandan"/>
    <m/>
  </r>
  <r>
    <n v="507"/>
    <x v="7"/>
    <s v="Ranchi"/>
    <s v="22-05-2014"/>
    <s v="Chennai Super Kings"/>
    <s v="Sunrisers Hyderabad"/>
    <x v="4"/>
    <x v="0"/>
    <s v="normal"/>
    <n v="0"/>
    <x v="0"/>
    <n v="0"/>
    <n v="6"/>
    <s v="DA Warner"/>
    <s v="JSCA International Stadium Complex"/>
    <s v="BNJ Oxenford"/>
    <s v="C Shamshuddin"/>
    <m/>
  </r>
  <r>
    <n v="508"/>
    <x v="7"/>
    <s v="Mumbai"/>
    <s v="23-05-2014"/>
    <s v="Mumbai Indians"/>
    <s v="Delhi Daredevils"/>
    <x v="7"/>
    <x v="0"/>
    <s v="normal"/>
    <n v="0"/>
    <x v="5"/>
    <n v="15"/>
    <n v="0"/>
    <s v="MEK Hussey"/>
    <s v="Wankhede Stadium"/>
    <s v="S Ravi"/>
    <s v="RJ Tucker"/>
    <m/>
  </r>
  <r>
    <n v="509"/>
    <x v="7"/>
    <s v="Chandigarh"/>
    <s v="23-05-2014"/>
    <s v="Kings XI Punjab"/>
    <s v="Rajasthan Royals"/>
    <x v="9"/>
    <x v="0"/>
    <s v="normal"/>
    <n v="0"/>
    <x v="3"/>
    <n v="16"/>
    <n v="0"/>
    <s v="SE Marsh"/>
    <s v="Punjab Cricket Association Stadium, Mohali"/>
    <s v="HDPK Dharmasena"/>
    <s v="PG Pathak"/>
    <m/>
  </r>
  <r>
    <n v="510"/>
    <x v="7"/>
    <s v="Bangalore"/>
    <s v="24-05-2014"/>
    <s v="Royal Challengers Bangalore"/>
    <s v="Chennai Super Kings"/>
    <x v="8"/>
    <x v="0"/>
    <s v="normal"/>
    <n v="0"/>
    <x v="8"/>
    <n v="0"/>
    <n v="8"/>
    <s v="MS Dhoni"/>
    <s v="M Chinnaswamy Stadium"/>
    <s v="AK Chaudhary"/>
    <s v="NJ Llong"/>
    <m/>
  </r>
  <r>
    <n v="511"/>
    <x v="7"/>
    <s v="Kolkata"/>
    <s v="24-05-2014"/>
    <s v="Sunrisers Hyderabad"/>
    <s v="Kolkata Knight Riders"/>
    <x v="2"/>
    <x v="0"/>
    <s v="normal"/>
    <n v="0"/>
    <x v="2"/>
    <n v="0"/>
    <n v="4"/>
    <s v="YK Pathan"/>
    <s v="Eden Gardens"/>
    <s v="RM Deshpande"/>
    <s v="BNJ Oxenford"/>
    <m/>
  </r>
  <r>
    <n v="512"/>
    <x v="7"/>
    <s v="Chandigarh"/>
    <s v="25-05-2014"/>
    <s v="Delhi Daredevils"/>
    <s v="Kings XI Punjab"/>
    <x v="3"/>
    <x v="0"/>
    <s v="normal"/>
    <n v="0"/>
    <x v="3"/>
    <n v="0"/>
    <n v="7"/>
    <s v="M Vohra"/>
    <s v="Punjab Cricket Association Stadium, Mohali"/>
    <s v="HDPK Dharmasena"/>
    <s v="VA Kulkarni"/>
    <m/>
  </r>
  <r>
    <n v="513"/>
    <x v="7"/>
    <s v="Mumbai"/>
    <s v="25-05-2014"/>
    <s v="Rajasthan Royals"/>
    <s v="Mumbai Indians"/>
    <x v="5"/>
    <x v="0"/>
    <s v="normal"/>
    <n v="0"/>
    <x v="5"/>
    <n v="0"/>
    <n v="5"/>
    <s v="CJ Anderson"/>
    <s v="Wankhede Stadium"/>
    <s v="K Srinath"/>
    <s v="RJ Tucker"/>
    <m/>
  </r>
  <r>
    <n v="514"/>
    <x v="7"/>
    <s v="Kolkata"/>
    <s v="27-05-2014"/>
    <s v="Kolkata Knight Riders"/>
    <s v="Kings XI Punjab"/>
    <x v="3"/>
    <x v="0"/>
    <s v="normal"/>
    <n v="0"/>
    <x v="2"/>
    <n v="28"/>
    <n v="0"/>
    <s v="UT Yadav"/>
    <s v="Eden Gardens"/>
    <s v="NJ Llong"/>
    <s v="S Ravi"/>
    <m/>
  </r>
  <r>
    <n v="515"/>
    <x v="7"/>
    <s v="Mumbai"/>
    <s v="28-05-2014"/>
    <s v="Mumbai Indians"/>
    <s v="Chennai Super Kings"/>
    <x v="8"/>
    <x v="0"/>
    <s v="normal"/>
    <n v="0"/>
    <x v="8"/>
    <n v="0"/>
    <n v="7"/>
    <s v="SK Raina"/>
    <s v="Brabourne Stadium"/>
    <s v="VA Kulkarni"/>
    <s v="BNJ Oxenford"/>
    <m/>
  </r>
  <r>
    <n v="516"/>
    <x v="7"/>
    <s v="Mumbai"/>
    <s v="30-05-2014"/>
    <s v="Kings XI Punjab"/>
    <s v="Chennai Super Kings"/>
    <x v="8"/>
    <x v="0"/>
    <s v="normal"/>
    <n v="0"/>
    <x v="3"/>
    <n v="24"/>
    <n v="0"/>
    <s v="V Sehwag"/>
    <s v="Wankhede Stadium"/>
    <s v="HDPK Dharmasena"/>
    <s v="RJ Tucker"/>
    <m/>
  </r>
  <r>
    <n v="517"/>
    <x v="7"/>
    <s v="Bangalore"/>
    <d v="2014-01-06T00:00:00"/>
    <s v="Kings XI Punjab"/>
    <s v="Kolkata Knight Riders"/>
    <x v="2"/>
    <x v="0"/>
    <s v="normal"/>
    <n v="0"/>
    <x v="2"/>
    <n v="0"/>
    <n v="3"/>
    <s v="MK Pandey"/>
    <s v="M Chinnaswamy Stadium"/>
    <s v="HDPK Dharmasena"/>
    <s v="BNJ Oxenford"/>
    <m/>
  </r>
  <r>
    <n v="518"/>
    <x v="8"/>
    <s v="Kolkata"/>
    <d v="2015-08-04T00:00:00"/>
    <s v="Mumbai Indians"/>
    <s v="Kolkata Knight Riders"/>
    <x v="2"/>
    <x v="0"/>
    <s v="normal"/>
    <n v="0"/>
    <x v="2"/>
    <n v="0"/>
    <n v="7"/>
    <s v="M Morkel"/>
    <s v="Eden Gardens"/>
    <s v="S Ravi"/>
    <s v="C Shamshuddin"/>
    <m/>
  </r>
  <r>
    <n v="519"/>
    <x v="8"/>
    <s v="Chennai"/>
    <d v="2015-09-04T00:00:00"/>
    <s v="Chennai Super Kings"/>
    <s v="Delhi Daredevils"/>
    <x v="7"/>
    <x v="0"/>
    <s v="normal"/>
    <n v="0"/>
    <x v="8"/>
    <n v="1"/>
    <n v="0"/>
    <s v="A Nehra"/>
    <s v="MA Chidambaram Stadium, Chepauk"/>
    <s v="RK Illingworth"/>
    <s v="VA Kulkarni"/>
    <m/>
  </r>
  <r>
    <n v="520"/>
    <x v="8"/>
    <s v="Pune"/>
    <d v="2015-10-04T00:00:00"/>
    <s v="Rajasthan Royals"/>
    <s v="Kings XI Punjab"/>
    <x v="3"/>
    <x v="0"/>
    <s v="normal"/>
    <n v="0"/>
    <x v="9"/>
    <n v="26"/>
    <n v="0"/>
    <s v="JP Faulkner"/>
    <s v="Maharashtra Cricket Association Stadium"/>
    <s v="SD Fry"/>
    <s v="CB Gaffaney"/>
    <m/>
  </r>
  <r>
    <n v="521"/>
    <x v="8"/>
    <s v="Chennai"/>
    <d v="2015-11-04T00:00:00"/>
    <s v="Chennai Super Kings"/>
    <s v="Sunrisers Hyderabad"/>
    <x v="8"/>
    <x v="1"/>
    <s v="normal"/>
    <n v="0"/>
    <x v="8"/>
    <n v="45"/>
    <n v="0"/>
    <s v="BB McCullum"/>
    <s v="MA Chidambaram Stadium, Chepauk"/>
    <s v="RK Illingworth"/>
    <s v="VA Kulkarni"/>
    <m/>
  </r>
  <r>
    <n v="522"/>
    <x v="8"/>
    <s v="Kolkata"/>
    <d v="2015-11-04T00:00:00"/>
    <s v="Kolkata Knight Riders"/>
    <s v="Royal Challengers Bangalore"/>
    <x v="0"/>
    <x v="0"/>
    <s v="normal"/>
    <n v="0"/>
    <x v="4"/>
    <n v="0"/>
    <n v="3"/>
    <s v="CH Gayle"/>
    <s v="Eden Gardens"/>
    <s v="S Ravi"/>
    <s v="C Shamshuddin"/>
    <m/>
  </r>
  <r>
    <n v="523"/>
    <x v="8"/>
    <s v="Delhi"/>
    <d v="2015-12-04T00:00:00"/>
    <s v="Delhi Daredevils"/>
    <s v="Rajasthan Royals"/>
    <x v="9"/>
    <x v="0"/>
    <s v="normal"/>
    <n v="0"/>
    <x v="9"/>
    <n v="0"/>
    <n v="3"/>
    <s v="DJ Hooda"/>
    <s v="Feroz Shah Kotla"/>
    <s v="SD Fry"/>
    <s v="CB Gaffaney"/>
    <m/>
  </r>
  <r>
    <n v="524"/>
    <x v="8"/>
    <s v="Mumbai"/>
    <d v="2015-12-04T00:00:00"/>
    <s v="Kings XI Punjab"/>
    <s v="Mumbai Indians"/>
    <x v="5"/>
    <x v="0"/>
    <s v="normal"/>
    <n v="0"/>
    <x v="3"/>
    <n v="18"/>
    <n v="0"/>
    <s v="GJ Bailey"/>
    <s v="Wankhede Stadium"/>
    <s v="AK Chaudhary"/>
    <s v="K Srinivasan"/>
    <m/>
  </r>
  <r>
    <n v="525"/>
    <x v="8"/>
    <s v="Bangalore"/>
    <s v="13-04-2015"/>
    <s v="Royal Challengers Bangalore"/>
    <s v="Sunrisers Hyderabad"/>
    <x v="4"/>
    <x v="0"/>
    <s v="normal"/>
    <n v="0"/>
    <x v="0"/>
    <n v="0"/>
    <n v="8"/>
    <s v="DA Warner"/>
    <s v="M Chinnaswamy Stadium"/>
    <s v="RM Deshpande"/>
    <s v="RK Illingworth"/>
    <m/>
  </r>
  <r>
    <n v="526"/>
    <x v="8"/>
    <s v="Ahmedabad"/>
    <s v="14-04-2015"/>
    <s v="Mumbai Indians"/>
    <s v="Rajasthan Royals"/>
    <x v="5"/>
    <x v="1"/>
    <s v="normal"/>
    <n v="0"/>
    <x v="9"/>
    <n v="0"/>
    <n v="7"/>
    <s v="SPD Smith"/>
    <s v="Sardar Patel Stadium, Motera"/>
    <s v="AK Chaudhary"/>
    <s v="SD Fry"/>
    <m/>
  </r>
  <r>
    <n v="527"/>
    <x v="8"/>
    <s v="Kolkata"/>
    <s v="30-04-2015"/>
    <s v="Chennai Super Kings"/>
    <s v="Kolkata Knight Riders"/>
    <x v="2"/>
    <x v="0"/>
    <s v="normal"/>
    <n v="0"/>
    <x v="2"/>
    <n v="0"/>
    <n v="7"/>
    <s v="AD Russell"/>
    <s v="Eden Gardens"/>
    <s v="AK Chaudhary"/>
    <s v="M Erasmus"/>
    <m/>
  </r>
  <r>
    <n v="528"/>
    <x v="8"/>
    <s v="Pune"/>
    <s v="15-04-2015"/>
    <s v="Kings XI Punjab"/>
    <s v="Delhi Daredevils"/>
    <x v="3"/>
    <x v="1"/>
    <s v="normal"/>
    <n v="0"/>
    <x v="6"/>
    <n v="0"/>
    <n v="5"/>
    <s v="MA Agarwal"/>
    <s v="Maharashtra Cricket Association Stadium"/>
    <s v="CB Gaffaney"/>
    <s v="K Srinath"/>
    <m/>
  </r>
  <r>
    <n v="529"/>
    <x v="8"/>
    <s v="Visakhapatnam"/>
    <s v="16-04-2015"/>
    <s v="Sunrisers Hyderabad"/>
    <s v="Rajasthan Royals"/>
    <x v="9"/>
    <x v="0"/>
    <s v="normal"/>
    <n v="0"/>
    <x v="9"/>
    <n v="0"/>
    <n v="6"/>
    <s v="AM Rahane"/>
    <s v="Dr. Y.S. Rajasekhara Reddy ACA-VDCA Cricket Stadium"/>
    <s v="PG Pathak"/>
    <s v="S Ravi"/>
    <m/>
  </r>
  <r>
    <n v="530"/>
    <x v="8"/>
    <s v="Mumbai"/>
    <s v="17-04-2015"/>
    <s v="Mumbai Indians"/>
    <s v="Chennai Super Kings"/>
    <x v="5"/>
    <x v="1"/>
    <s v="normal"/>
    <n v="0"/>
    <x v="8"/>
    <n v="0"/>
    <n v="6"/>
    <s v="A Nehra"/>
    <s v="Wankhede Stadium"/>
    <s v="AK Chaudhary"/>
    <s v="M Erasmus"/>
    <m/>
  </r>
  <r>
    <n v="531"/>
    <x v="8"/>
    <s v="Visakhapatnam"/>
    <s v="18-04-2015"/>
    <s v="Delhi Daredevils"/>
    <s v="Sunrisers Hyderabad"/>
    <x v="7"/>
    <x v="1"/>
    <s v="normal"/>
    <n v="0"/>
    <x v="6"/>
    <n v="4"/>
    <n v="0"/>
    <s v="JP Duminy"/>
    <s v="Dr. Y.S. Rajasekhara Reddy ACA-VDCA Cricket Stadium"/>
    <s v="PG Pathak"/>
    <s v="S Ravi"/>
    <m/>
  </r>
  <r>
    <n v="532"/>
    <x v="8"/>
    <s v="Pune"/>
    <s v="18-04-2015"/>
    <s v="Kings XI Punjab"/>
    <s v="Kolkata Knight Riders"/>
    <x v="2"/>
    <x v="0"/>
    <s v="normal"/>
    <n v="0"/>
    <x v="2"/>
    <n v="0"/>
    <n v="4"/>
    <s v="AD Russell"/>
    <s v="Maharashtra Cricket Association Stadium"/>
    <s v="SD Fry"/>
    <s v="CK Nandan"/>
    <m/>
  </r>
  <r>
    <n v="533"/>
    <x v="8"/>
    <s v="Ahmedabad"/>
    <s v="19-04-2015"/>
    <s v="Chennai Super Kings"/>
    <s v="Rajasthan Royals"/>
    <x v="8"/>
    <x v="1"/>
    <s v="normal"/>
    <n v="0"/>
    <x v="9"/>
    <n v="0"/>
    <n v="8"/>
    <s v="AM Rahane"/>
    <s v="Sardar Patel Stadium, Motera"/>
    <s v="AK Chaudhary"/>
    <s v="M Erasmus"/>
    <m/>
  </r>
  <r>
    <n v="534"/>
    <x v="8"/>
    <s v="Bangalore"/>
    <s v="19-04-2015"/>
    <s v="Mumbai Indians"/>
    <s v="Royal Challengers Bangalore"/>
    <x v="0"/>
    <x v="0"/>
    <s v="normal"/>
    <n v="0"/>
    <x v="5"/>
    <n v="18"/>
    <n v="0"/>
    <s v="Harbhajan Singh"/>
    <s v="M Chinnaswamy Stadium"/>
    <s v="RK Illingworth"/>
    <s v="VA Kulkarni"/>
    <m/>
  </r>
  <r>
    <n v="535"/>
    <x v="8"/>
    <s v="Delhi"/>
    <s v="20-04-2015"/>
    <s v="Delhi Daredevils"/>
    <s v="Kolkata Knight Riders"/>
    <x v="2"/>
    <x v="0"/>
    <s v="normal"/>
    <n v="0"/>
    <x v="2"/>
    <n v="0"/>
    <n v="6"/>
    <s v="UT Yadav"/>
    <s v="Feroz Shah Kotla"/>
    <s v="SD Fry"/>
    <s v="CB Gaffaney"/>
    <m/>
  </r>
  <r>
    <n v="536"/>
    <x v="8"/>
    <s v="Ahmedabad"/>
    <s v="21-04-2015"/>
    <s v="Rajasthan Royals"/>
    <s v="Kings XI Punjab"/>
    <x v="3"/>
    <x v="0"/>
    <s v="tie"/>
    <n v="0"/>
    <x v="3"/>
    <n v="0"/>
    <n v="0"/>
    <s v="SE Marsh"/>
    <s v="Sardar Patel Stadium, Motera"/>
    <s v="M Erasmus"/>
    <s v="S Ravi"/>
    <m/>
  </r>
  <r>
    <n v="537"/>
    <x v="8"/>
    <s v="Visakhapatnam"/>
    <s v="22-04-2015"/>
    <s v="Sunrisers Hyderabad"/>
    <s v="Kolkata Knight Riders"/>
    <x v="2"/>
    <x v="0"/>
    <s v="normal"/>
    <n v="1"/>
    <x v="0"/>
    <n v="16"/>
    <n v="0"/>
    <s v="DA Warner"/>
    <s v="Dr. Y.S. Rajasekhara Reddy ACA-VDCA Cricket Stadium"/>
    <s v="RK Illingworth"/>
    <s v="VA Kulkarni"/>
    <m/>
  </r>
  <r>
    <n v="538"/>
    <x v="8"/>
    <s v="Bangalore"/>
    <s v="22-04-2015"/>
    <s v="Chennai Super Kings"/>
    <s v="Royal Challengers Bangalore"/>
    <x v="0"/>
    <x v="0"/>
    <s v="normal"/>
    <n v="0"/>
    <x v="8"/>
    <n v="27"/>
    <n v="0"/>
    <s v="SK Raina"/>
    <s v="M Chinnaswamy Stadium"/>
    <s v="JD Cloete"/>
    <s v="C Shamshuddin"/>
    <m/>
  </r>
  <r>
    <n v="539"/>
    <x v="8"/>
    <s v="Delhi"/>
    <s v="23-04-2015"/>
    <s v="Delhi Daredevils"/>
    <s v="Mumbai Indians"/>
    <x v="5"/>
    <x v="0"/>
    <s v="normal"/>
    <n v="0"/>
    <x v="6"/>
    <n v="37"/>
    <n v="0"/>
    <s v="SS Iyer"/>
    <s v="Feroz Shah Kotla"/>
    <s v="SD Fry"/>
    <s v="CK Nandan"/>
    <m/>
  </r>
  <r>
    <n v="540"/>
    <x v="8"/>
    <s v="Ahmedabad"/>
    <s v="24-04-2015"/>
    <s v="Rajasthan Royals"/>
    <s v="Royal Challengers Bangalore"/>
    <x v="0"/>
    <x v="0"/>
    <s v="normal"/>
    <n v="0"/>
    <x v="4"/>
    <n v="0"/>
    <n v="9"/>
    <s v="MA Starc"/>
    <s v="Sardar Patel Stadium, Motera"/>
    <s v="M Erasmus"/>
    <s v="S Ravi"/>
    <m/>
  </r>
  <r>
    <n v="541"/>
    <x v="8"/>
    <s v="Mumbai"/>
    <s v="25-04-2015"/>
    <s v="Mumbai Indians"/>
    <s v="Sunrisers Hyderabad"/>
    <x v="5"/>
    <x v="1"/>
    <s v="normal"/>
    <n v="0"/>
    <x v="5"/>
    <n v="20"/>
    <n v="0"/>
    <s v="SL Malinga"/>
    <s v="Wankhede Stadium"/>
    <s v="HDPK Dharmasena"/>
    <s v="CB Gaffaney"/>
    <m/>
  </r>
  <r>
    <n v="542"/>
    <x v="8"/>
    <s v="Chennai"/>
    <s v="25-04-2015"/>
    <s v="Chennai Super Kings"/>
    <s v="Kings XI Punjab"/>
    <x v="8"/>
    <x v="1"/>
    <s v="normal"/>
    <n v="0"/>
    <x v="8"/>
    <n v="97"/>
    <n v="0"/>
    <s v="BB McCullum"/>
    <s v="MA Chidambaram Stadium, Chepauk"/>
    <s v="JD Cloete"/>
    <s v="C Shamshuddin"/>
    <m/>
  </r>
  <r>
    <n v="543"/>
    <x v="8"/>
    <s v="Delhi"/>
    <s v="26-04-2015"/>
    <s v="Delhi Daredevils"/>
    <s v="Royal Challengers Bangalore"/>
    <x v="0"/>
    <x v="0"/>
    <s v="normal"/>
    <n v="0"/>
    <x v="4"/>
    <n v="0"/>
    <n v="10"/>
    <s v="VR Aaron"/>
    <s v="Feroz Shah Kotla"/>
    <s v="M Erasmus"/>
    <s v="S Ravi"/>
    <m/>
  </r>
  <r>
    <n v="544"/>
    <x v="8"/>
    <s v="Chandigarh"/>
    <s v="27-04-2015"/>
    <s v="Sunrisers Hyderabad"/>
    <s v="Kings XI Punjab"/>
    <x v="3"/>
    <x v="0"/>
    <s v="normal"/>
    <n v="0"/>
    <x v="0"/>
    <n v="20"/>
    <n v="0"/>
    <s v="TA Boult"/>
    <s v="Punjab Cricket Association Stadium, Mohali"/>
    <s v="HDPK Dharmasena"/>
    <s v="CB Gaffaney"/>
    <m/>
  </r>
  <r>
    <n v="545"/>
    <x v="8"/>
    <s v="Kolkata"/>
    <d v="2015-07-05T00:00:00"/>
    <s v="Kolkata Knight Riders"/>
    <s v="Delhi Daredevils"/>
    <x v="2"/>
    <x v="1"/>
    <s v="normal"/>
    <n v="0"/>
    <x v="2"/>
    <n v="13"/>
    <n v="0"/>
    <s v="PP Chawla"/>
    <s v="Eden Gardens"/>
    <s v="AK Chaudhary"/>
    <s v="M Erasmus"/>
    <m/>
  </r>
  <r>
    <n v="546"/>
    <x v="8"/>
    <s v="Bangalore"/>
    <s v="29-04-2015"/>
    <s v="Royal Challengers Bangalore"/>
    <s v="Rajasthan Royals"/>
    <x v="9"/>
    <x v="0"/>
    <s v="no result"/>
    <n v="0"/>
    <x v="13"/>
    <n v="0"/>
    <n v="0"/>
    <m/>
    <s v="M Chinnaswamy Stadium"/>
    <s v="JD Cloete"/>
    <s v="PG Pathak"/>
    <m/>
  </r>
  <r>
    <n v="547"/>
    <x v="8"/>
    <s v="Chennai"/>
    <s v="28-04-2015"/>
    <s v="Chennai Super Kings"/>
    <s v="Kolkata Knight Riders"/>
    <x v="2"/>
    <x v="0"/>
    <s v="normal"/>
    <n v="0"/>
    <x v="8"/>
    <n v="2"/>
    <n v="0"/>
    <s v="DJ Bravo"/>
    <s v="MA Chidambaram Stadium, Chepauk"/>
    <s v="RM Deshpande"/>
    <s v="VA Kulkarni"/>
    <m/>
  </r>
  <r>
    <n v="548"/>
    <x v="8"/>
    <s v="Delhi"/>
    <d v="2015-01-05T00:00:00"/>
    <s v="Kings XI Punjab"/>
    <s v="Delhi Daredevils"/>
    <x v="7"/>
    <x v="0"/>
    <s v="normal"/>
    <n v="0"/>
    <x v="6"/>
    <n v="0"/>
    <n v="9"/>
    <s v="NM Coulter-Nile"/>
    <s v="Feroz Shah Kotla"/>
    <s v="RK Illingworth"/>
    <s v="S Ravi"/>
    <m/>
  </r>
  <r>
    <n v="549"/>
    <x v="8"/>
    <s v="Mumbai"/>
    <d v="2015-01-05T00:00:00"/>
    <s v="Mumbai Indians"/>
    <s v="Rajasthan Royals"/>
    <x v="9"/>
    <x v="0"/>
    <s v="normal"/>
    <n v="0"/>
    <x v="5"/>
    <n v="8"/>
    <n v="0"/>
    <s v="AT Rayudu"/>
    <s v="Wankhede Stadium"/>
    <s v="HDPK Dharmasena"/>
    <s v="CK Nandan"/>
    <m/>
  </r>
  <r>
    <n v="550"/>
    <x v="8"/>
    <s v="Bangalore"/>
    <d v="2015-02-05T00:00:00"/>
    <s v="Kolkata Knight Riders"/>
    <s v="Royal Challengers Bangalore"/>
    <x v="0"/>
    <x v="0"/>
    <s v="normal"/>
    <n v="0"/>
    <x v="4"/>
    <n v="0"/>
    <n v="7"/>
    <s v="Mandeep Singh"/>
    <s v="M Chinnaswamy Stadium"/>
    <s v="JD Cloete"/>
    <s v="PG Pathak"/>
    <m/>
  </r>
  <r>
    <n v="551"/>
    <x v="8"/>
    <s v="Hyderabad"/>
    <d v="2015-02-05T00:00:00"/>
    <s v="Sunrisers Hyderabad"/>
    <s v="Chennai Super Kings"/>
    <x v="8"/>
    <x v="0"/>
    <s v="normal"/>
    <n v="0"/>
    <x v="0"/>
    <n v="22"/>
    <n v="0"/>
    <s v="DA Warner"/>
    <s v="Rajiv Gandhi International Stadium, Uppal"/>
    <s v="AK Chaudhary"/>
    <s v="K Srinivasan"/>
    <m/>
  </r>
  <r>
    <n v="552"/>
    <x v="8"/>
    <s v="Chandigarh"/>
    <d v="2015-03-05T00:00:00"/>
    <s v="Mumbai Indians"/>
    <s v="Kings XI Punjab"/>
    <x v="5"/>
    <x v="1"/>
    <s v="normal"/>
    <n v="0"/>
    <x v="5"/>
    <n v="23"/>
    <n v="0"/>
    <s v="LMP Simmons"/>
    <s v="Punjab Cricket Association Stadium, Mohali"/>
    <s v="RK Illingworth"/>
    <s v="VA Kulkarni"/>
    <m/>
  </r>
  <r>
    <n v="553"/>
    <x v="8"/>
    <s v="Mumbai"/>
    <d v="2015-03-05T00:00:00"/>
    <s v="Rajasthan Royals"/>
    <s v="Delhi Daredevils"/>
    <x v="7"/>
    <x v="0"/>
    <s v="normal"/>
    <n v="0"/>
    <x v="9"/>
    <n v="14"/>
    <n v="0"/>
    <s v="AM Rahane"/>
    <s v="Brabourne Stadium"/>
    <s v="HDPK Dharmasena"/>
    <s v="CB Gaffaney"/>
    <m/>
  </r>
  <r>
    <n v="554"/>
    <x v="8"/>
    <s v="Chennai"/>
    <d v="2015-04-05T00:00:00"/>
    <s v="Chennai Super Kings"/>
    <s v="Royal Challengers Bangalore"/>
    <x v="8"/>
    <x v="1"/>
    <s v="normal"/>
    <n v="0"/>
    <x v="8"/>
    <n v="24"/>
    <n v="0"/>
    <s v="SK Raina"/>
    <s v="MA Chidambaram Stadium, Chepauk"/>
    <s v="C Shamshuddin"/>
    <s v="K Srinath"/>
    <m/>
  </r>
  <r>
    <n v="555"/>
    <x v="8"/>
    <s v="Kolkata"/>
    <d v="2015-04-05T00:00:00"/>
    <s v="Kolkata Knight Riders"/>
    <s v="Sunrisers Hyderabad"/>
    <x v="4"/>
    <x v="0"/>
    <s v="normal"/>
    <n v="0"/>
    <x v="2"/>
    <n v="35"/>
    <n v="0"/>
    <s v="UT Yadav"/>
    <s v="Eden Gardens"/>
    <s v="AK Chaudhary"/>
    <s v="M Erasmus"/>
    <m/>
  </r>
  <r>
    <n v="556"/>
    <x v="8"/>
    <s v="Mumbai"/>
    <d v="2015-05-05T00:00:00"/>
    <s v="Delhi Daredevils"/>
    <s v="Mumbai Indians"/>
    <x v="7"/>
    <x v="1"/>
    <s v="normal"/>
    <n v="0"/>
    <x v="5"/>
    <n v="0"/>
    <n v="5"/>
    <s v="Harbhajan Singh"/>
    <s v="Wankhede Stadium"/>
    <s v="HDPK Dharmasena"/>
    <s v="CB Gaffaney"/>
    <m/>
  </r>
  <r>
    <n v="557"/>
    <x v="8"/>
    <s v="Bangalore"/>
    <d v="2015-06-05T00:00:00"/>
    <s v="Royal Challengers Bangalore"/>
    <s v="Kings XI Punjab"/>
    <x v="3"/>
    <x v="0"/>
    <s v="normal"/>
    <n v="0"/>
    <x v="4"/>
    <n v="138"/>
    <n v="0"/>
    <s v="CH Gayle"/>
    <s v="M Chinnaswamy Stadium"/>
    <s v="RK Illingworth"/>
    <s v="VA Kulkarni"/>
    <m/>
  </r>
  <r>
    <n v="558"/>
    <x v="8"/>
    <s v="Mumbai"/>
    <d v="2015-07-05T00:00:00"/>
    <s v="Sunrisers Hyderabad"/>
    <s v="Rajasthan Royals"/>
    <x v="9"/>
    <x v="0"/>
    <s v="normal"/>
    <n v="0"/>
    <x v="0"/>
    <n v="7"/>
    <n v="0"/>
    <s v="EJG Morgan"/>
    <s v="Brabourne Stadium"/>
    <s v="JD Cloete"/>
    <s v="C Shamshuddin"/>
    <m/>
  </r>
  <r>
    <n v="559"/>
    <x v="8"/>
    <s v="Chennai"/>
    <d v="2015-08-05T00:00:00"/>
    <s v="Chennai Super Kings"/>
    <s v="Mumbai Indians"/>
    <x v="8"/>
    <x v="1"/>
    <s v="normal"/>
    <n v="0"/>
    <x v="5"/>
    <n v="0"/>
    <n v="6"/>
    <s v="HH Pandya"/>
    <s v="MA Chidambaram Stadium, Chepauk"/>
    <s v="CB Gaffaney"/>
    <s v="CK Nandan"/>
    <m/>
  </r>
  <r>
    <n v="560"/>
    <x v="8"/>
    <s v="Kolkata"/>
    <d v="2015-09-05T00:00:00"/>
    <s v="Kings XI Punjab"/>
    <s v="Kolkata Knight Riders"/>
    <x v="3"/>
    <x v="1"/>
    <s v="normal"/>
    <n v="0"/>
    <x v="2"/>
    <n v="0"/>
    <n v="1"/>
    <s v="AD Russell"/>
    <s v="Eden Gardens"/>
    <s v="AK Chaudhary"/>
    <s v="HDPK Dharmasena"/>
    <m/>
  </r>
  <r>
    <n v="561"/>
    <x v="8"/>
    <s v="Raipur"/>
    <d v="2015-09-05T00:00:00"/>
    <s v="Sunrisers Hyderabad"/>
    <s v="Delhi Daredevils"/>
    <x v="4"/>
    <x v="1"/>
    <s v="normal"/>
    <n v="0"/>
    <x v="0"/>
    <n v="6"/>
    <n v="0"/>
    <s v="MC Henriques"/>
    <s v="Shaheed Veer Narayan Singh International Stadium"/>
    <s v="VA Kulkarni"/>
    <s v="S Ravi"/>
    <m/>
  </r>
  <r>
    <n v="562"/>
    <x v="8"/>
    <s v="Mumbai"/>
    <d v="2015-10-05T00:00:00"/>
    <s v="Royal Challengers Bangalore"/>
    <s v="Mumbai Indians"/>
    <x v="0"/>
    <x v="1"/>
    <s v="normal"/>
    <n v="0"/>
    <x v="4"/>
    <n v="39"/>
    <n v="0"/>
    <s v="AB de Villiers"/>
    <s v="Wankhede Stadium"/>
    <s v="JD Cloete"/>
    <s v="C Shamshuddin"/>
    <m/>
  </r>
  <r>
    <n v="563"/>
    <x v="8"/>
    <s v="Chennai"/>
    <d v="2015-10-05T00:00:00"/>
    <s v="Chennai Super Kings"/>
    <s v="Rajasthan Royals"/>
    <x v="8"/>
    <x v="1"/>
    <s v="normal"/>
    <n v="0"/>
    <x v="8"/>
    <n v="12"/>
    <n v="0"/>
    <s v="RA Jadeja"/>
    <s v="MA Chidambaram Stadium, Chepauk"/>
    <s v="M Erasmus"/>
    <s v="CK Nandan"/>
    <m/>
  </r>
  <r>
    <n v="564"/>
    <x v="8"/>
    <s v="Hyderabad"/>
    <d v="2015-11-05T00:00:00"/>
    <s v="Sunrisers Hyderabad"/>
    <s v="Kings XI Punjab"/>
    <x v="4"/>
    <x v="1"/>
    <s v="normal"/>
    <n v="0"/>
    <x v="0"/>
    <n v="5"/>
    <n v="0"/>
    <s v="DA Warner"/>
    <s v="Rajiv Gandhi International Stadium, Uppal"/>
    <s v="AK Chaudhary"/>
    <s v="HDPK Dharmasena"/>
    <m/>
  </r>
  <r>
    <n v="565"/>
    <x v="8"/>
    <s v="Raipur"/>
    <d v="2015-12-05T00:00:00"/>
    <s v="Chennai Super Kings"/>
    <s v="Delhi Daredevils"/>
    <x v="8"/>
    <x v="1"/>
    <s v="normal"/>
    <n v="0"/>
    <x v="6"/>
    <n v="0"/>
    <n v="6"/>
    <s v="Z Khan"/>
    <s v="Shaheed Veer Narayan Singh International Stadium"/>
    <s v="RK Illingworth"/>
    <s v="VA Kulkarni"/>
    <m/>
  </r>
  <r>
    <n v="566"/>
    <x v="8"/>
    <s v="Chandigarh"/>
    <s v="13-05-2015"/>
    <s v="Kings XI Punjab"/>
    <s v="Royal Challengers Bangalore"/>
    <x v="0"/>
    <x v="0"/>
    <s v="normal"/>
    <n v="0"/>
    <x v="3"/>
    <n v="22"/>
    <n v="0"/>
    <s v="AR Patel"/>
    <s v="Punjab Cricket Association Stadium, Mohali"/>
    <s v="JD Cloete"/>
    <s v="C Shamshuddin"/>
    <m/>
  </r>
  <r>
    <n v="567"/>
    <x v="8"/>
    <s v="Mumbai"/>
    <s v="14-05-2015"/>
    <s v="Mumbai Indians"/>
    <s v="Kolkata Knight Riders"/>
    <x v="2"/>
    <x v="0"/>
    <s v="normal"/>
    <n v="0"/>
    <x v="5"/>
    <n v="5"/>
    <n v="0"/>
    <s v="HH Pandya"/>
    <s v="Wankhede Stadium"/>
    <s v="RK Illingworth"/>
    <s v="VA Kulkarni"/>
    <m/>
  </r>
  <r>
    <n v="568"/>
    <x v="8"/>
    <s v="Hyderabad"/>
    <s v="15-05-2015"/>
    <s v="Sunrisers Hyderabad"/>
    <s v="Royal Challengers Bangalore"/>
    <x v="4"/>
    <x v="1"/>
    <s v="normal"/>
    <n v="1"/>
    <x v="4"/>
    <n v="0"/>
    <n v="6"/>
    <s v="V Kohli"/>
    <s v="Rajiv Gandhi International Stadium, Uppal"/>
    <s v="AK Chaudhary"/>
    <s v="HDPK Dharmasena"/>
    <m/>
  </r>
  <r>
    <n v="569"/>
    <x v="8"/>
    <s v="Chandigarh"/>
    <s v="16-05-2015"/>
    <s v="Kings XI Punjab"/>
    <s v="Chennai Super Kings"/>
    <x v="3"/>
    <x v="1"/>
    <s v="normal"/>
    <n v="0"/>
    <x v="8"/>
    <n v="0"/>
    <n v="7"/>
    <s v="P Negi"/>
    <s v="Punjab Cricket Association Stadium, Mohali"/>
    <s v="CK Nandan"/>
    <s v="C Shamshuddin"/>
    <m/>
  </r>
  <r>
    <n v="570"/>
    <x v="8"/>
    <s v="Mumbai"/>
    <s v="16-05-2015"/>
    <s v="Rajasthan Royals"/>
    <s v="Kolkata Knight Riders"/>
    <x v="9"/>
    <x v="1"/>
    <s v="normal"/>
    <n v="0"/>
    <x v="9"/>
    <n v="9"/>
    <n v="0"/>
    <s v="SR Watson"/>
    <s v="Brabourne Stadium"/>
    <s v="RM Deshpande"/>
    <s v="RK Illingworth"/>
    <m/>
  </r>
  <r>
    <n v="571"/>
    <x v="8"/>
    <s v="Bangalore"/>
    <s v="17-05-2015"/>
    <s v="Delhi Daredevils"/>
    <s v="Royal Challengers Bangalore"/>
    <x v="0"/>
    <x v="0"/>
    <s v="no result"/>
    <n v="0"/>
    <x v="13"/>
    <n v="0"/>
    <n v="0"/>
    <m/>
    <s v="M Chinnaswamy Stadium"/>
    <s v="HDPK Dharmasena"/>
    <s v="K Srinivasan"/>
    <m/>
  </r>
  <r>
    <n v="572"/>
    <x v="8"/>
    <s v="Hyderabad"/>
    <s v="17-05-2015"/>
    <s v="Sunrisers Hyderabad"/>
    <s v="Mumbai Indians"/>
    <x v="4"/>
    <x v="1"/>
    <s v="normal"/>
    <n v="0"/>
    <x v="5"/>
    <n v="0"/>
    <n v="9"/>
    <s v="MJ McClenaghan"/>
    <s v="Rajiv Gandhi International Stadium, Uppal"/>
    <s v="CB Gaffaney"/>
    <s v="K Srinath"/>
    <m/>
  </r>
  <r>
    <n v="573"/>
    <x v="8"/>
    <s v="Mumbai"/>
    <s v="19-05-2015"/>
    <s v="Mumbai Indians"/>
    <s v="Chennai Super Kings"/>
    <x v="5"/>
    <x v="1"/>
    <s v="normal"/>
    <n v="0"/>
    <x v="5"/>
    <n v="25"/>
    <n v="0"/>
    <s v="KA Pollard"/>
    <s v="Wankhede Stadium"/>
    <s v="HDPK Dharmasena"/>
    <s v="RK Illingworth"/>
    <m/>
  </r>
  <r>
    <n v="574"/>
    <x v="8"/>
    <s v="Pune"/>
    <s v="20-05-2015"/>
    <s v="Royal Challengers Bangalore"/>
    <s v="Rajasthan Royals"/>
    <x v="0"/>
    <x v="1"/>
    <s v="normal"/>
    <n v="0"/>
    <x v="4"/>
    <n v="71"/>
    <n v="0"/>
    <s v="AB de Villiers"/>
    <s v="Maharashtra Cricket Association Stadium"/>
    <s v="AK Chaudhary"/>
    <s v="C Shamshuddin"/>
    <m/>
  </r>
  <r>
    <n v="575"/>
    <x v="8"/>
    <s v="Ranchi"/>
    <s v="22-05-2015"/>
    <s v="Royal Challengers Bangalore"/>
    <s v="Chennai Super Kings"/>
    <x v="8"/>
    <x v="0"/>
    <s v="normal"/>
    <n v="0"/>
    <x v="8"/>
    <n v="0"/>
    <n v="3"/>
    <s v="A Nehra"/>
    <s v="JSCA International Stadium Complex"/>
    <s v="AK Chaudhary"/>
    <s v="CB Gaffaney"/>
    <m/>
  </r>
  <r>
    <n v="576"/>
    <x v="8"/>
    <s v="Kolkata"/>
    <s v="24-05-2015"/>
    <s v="Mumbai Indians"/>
    <s v="Chennai Super Kings"/>
    <x v="8"/>
    <x v="0"/>
    <s v="normal"/>
    <n v="0"/>
    <x v="5"/>
    <n v="41"/>
    <n v="0"/>
    <s v="RG Sharma"/>
    <s v="Eden Gardens"/>
    <s v="HDPK Dharmasena"/>
    <s v="RK Illingworth"/>
    <m/>
  </r>
  <r>
    <n v="577"/>
    <x v="9"/>
    <s v="Mumbai"/>
    <d v="2016-09-04T00:00:00"/>
    <s v="Mumbai Indians"/>
    <s v="Rising Pune Supergiants"/>
    <x v="5"/>
    <x v="1"/>
    <s v="normal"/>
    <n v="0"/>
    <x v="14"/>
    <n v="0"/>
    <n v="9"/>
    <s v="AM Rahane"/>
    <s v="Wankhede Stadium"/>
    <s v="HDPK Dharmasena"/>
    <s v="CK Nandan"/>
    <m/>
  </r>
  <r>
    <n v="578"/>
    <x v="9"/>
    <s v="Kolkata"/>
    <d v="2016-10-04T00:00:00"/>
    <s v="Delhi Daredevils"/>
    <s v="Kolkata Knight Riders"/>
    <x v="2"/>
    <x v="0"/>
    <s v="normal"/>
    <n v="0"/>
    <x v="2"/>
    <n v="0"/>
    <n v="9"/>
    <s v="AD Russell"/>
    <s v="Eden Gardens"/>
    <s v="S Ravi"/>
    <s v="C Shamshuddin"/>
    <m/>
  </r>
  <r>
    <n v="579"/>
    <x v="9"/>
    <s v="Chandigarh"/>
    <d v="2016-11-04T00:00:00"/>
    <s v="Kings XI Punjab"/>
    <s v="Gujarat Lions"/>
    <x v="6"/>
    <x v="0"/>
    <s v="normal"/>
    <n v="0"/>
    <x v="7"/>
    <n v="0"/>
    <n v="5"/>
    <s v="AJ Finch"/>
    <s v="Punjab Cricket Association IS Bindra Stadium, Mohali"/>
    <s v="AK Chaudhary"/>
    <s v="VA Kulkarni"/>
    <m/>
  </r>
  <r>
    <n v="580"/>
    <x v="9"/>
    <s v="Bangalore"/>
    <d v="2016-12-04T00:00:00"/>
    <s v="Royal Challengers Bangalore"/>
    <s v="Sunrisers Hyderabad"/>
    <x v="4"/>
    <x v="0"/>
    <s v="normal"/>
    <n v="0"/>
    <x v="4"/>
    <n v="45"/>
    <n v="0"/>
    <s v="AB de Villiers"/>
    <s v="M Chinnaswamy Stadium"/>
    <s v="HDPK Dharmasena"/>
    <s v="VK Sharma"/>
    <m/>
  </r>
  <r>
    <n v="581"/>
    <x v="9"/>
    <s v="Kolkata"/>
    <s v="13-04-2016"/>
    <s v="Kolkata Knight Riders"/>
    <s v="Mumbai Indians"/>
    <x v="5"/>
    <x v="0"/>
    <s v="normal"/>
    <n v="0"/>
    <x v="5"/>
    <n v="0"/>
    <n v="6"/>
    <s v="RG Sharma"/>
    <s v="Eden Gardens"/>
    <s v="Nitin Menon"/>
    <s v="S Ravi"/>
    <m/>
  </r>
  <r>
    <n v="582"/>
    <x v="9"/>
    <s v="Rajkot"/>
    <s v="14-04-2016"/>
    <s v="Rising Pune Supergiants"/>
    <s v="Gujarat Lions"/>
    <x v="13"/>
    <x v="1"/>
    <s v="normal"/>
    <n v="0"/>
    <x v="7"/>
    <n v="0"/>
    <n v="7"/>
    <s v="AJ Finch"/>
    <s v="Saurashtra Cricket Association Stadium"/>
    <s v="VA Kulkarni"/>
    <s v="CK Nandan"/>
    <m/>
  </r>
  <r>
    <n v="583"/>
    <x v="9"/>
    <s v="Delhi"/>
    <s v="15-04-2016"/>
    <s v="Kings XI Punjab"/>
    <s v="Delhi Daredevils"/>
    <x v="7"/>
    <x v="0"/>
    <s v="normal"/>
    <n v="0"/>
    <x v="6"/>
    <n v="0"/>
    <n v="8"/>
    <s v="A Mishra"/>
    <s v="Feroz Shah Kotla"/>
    <s v="S Ravi"/>
    <s v="C Shamshuddin"/>
    <m/>
  </r>
  <r>
    <n v="584"/>
    <x v="9"/>
    <s v="Hyderabad"/>
    <s v="16-04-2016"/>
    <s v="Sunrisers Hyderabad"/>
    <s v="Kolkata Knight Riders"/>
    <x v="4"/>
    <x v="1"/>
    <s v="normal"/>
    <n v="0"/>
    <x v="2"/>
    <n v="0"/>
    <n v="8"/>
    <s v="G Gambhir"/>
    <s v="Rajiv Gandhi International Stadium, Uppal"/>
    <s v="AK Chaudhary"/>
    <s v="CK Nandan"/>
    <m/>
  </r>
  <r>
    <n v="585"/>
    <x v="9"/>
    <s v="Mumbai"/>
    <s v="16-04-2016"/>
    <s v="Mumbai Indians"/>
    <s v="Gujarat Lions"/>
    <x v="6"/>
    <x v="0"/>
    <s v="normal"/>
    <n v="0"/>
    <x v="7"/>
    <n v="0"/>
    <n v="3"/>
    <s v="AJ Finch"/>
    <s v="Wankhede Stadium"/>
    <s v="HDPK Dharmasena"/>
    <s v="VK Sharma"/>
    <m/>
  </r>
  <r>
    <n v="586"/>
    <x v="9"/>
    <s v="Chandigarh"/>
    <s v="17-04-2016"/>
    <s v="Rising Pune Supergiants"/>
    <s v="Kings XI Punjab"/>
    <x v="13"/>
    <x v="1"/>
    <s v="normal"/>
    <n v="0"/>
    <x v="3"/>
    <n v="0"/>
    <n v="6"/>
    <s v="M Vohra"/>
    <s v="Punjab Cricket Association IS Bindra Stadium, Mohali"/>
    <s v="S Ravi"/>
    <s v="C Shamshuddin"/>
    <m/>
  </r>
  <r>
    <n v="587"/>
    <x v="9"/>
    <s v="Bangalore"/>
    <s v="17-04-2016"/>
    <s v="Royal Challengers Bangalore"/>
    <s v="Delhi Daredevils"/>
    <x v="7"/>
    <x v="0"/>
    <s v="normal"/>
    <n v="0"/>
    <x v="6"/>
    <n v="0"/>
    <n v="7"/>
    <s v="Q de Kock"/>
    <s v="M Chinnaswamy Stadium"/>
    <s v="VA Kulkarni"/>
    <s v="A Nand Kishore"/>
    <m/>
  </r>
  <r>
    <n v="588"/>
    <x v="9"/>
    <s v="Hyderabad"/>
    <s v="18-04-2016"/>
    <s v="Mumbai Indians"/>
    <s v="Sunrisers Hyderabad"/>
    <x v="4"/>
    <x v="0"/>
    <s v="normal"/>
    <n v="0"/>
    <x v="0"/>
    <n v="0"/>
    <n v="7"/>
    <s v="DA Warner"/>
    <s v="Rajiv Gandhi International Stadium, Uppal"/>
    <s v="HDPK Dharmasena"/>
    <s v="VK Sharma"/>
    <m/>
  </r>
  <r>
    <n v="589"/>
    <x v="9"/>
    <s v="Chandigarh"/>
    <s v="19-04-2016"/>
    <s v="Kings XI Punjab"/>
    <s v="Kolkata Knight Riders"/>
    <x v="2"/>
    <x v="0"/>
    <s v="normal"/>
    <n v="0"/>
    <x v="2"/>
    <n v="0"/>
    <n v="6"/>
    <s v="RV Uthappa"/>
    <s v="Punjab Cricket Association IS Bindra Stadium, Mohali"/>
    <s v="S Ravi"/>
    <s v="C Shamshuddin"/>
    <m/>
  </r>
  <r>
    <n v="590"/>
    <x v="9"/>
    <s v="Mumbai"/>
    <s v="20-04-2016"/>
    <s v="Royal Challengers Bangalore"/>
    <s v="Mumbai Indians"/>
    <x v="5"/>
    <x v="0"/>
    <s v="normal"/>
    <n v="0"/>
    <x v="5"/>
    <n v="0"/>
    <n v="6"/>
    <s v="RG Sharma"/>
    <s v="Wankhede Stadium"/>
    <s v="AK Chaudhary"/>
    <s v="CK Nandan"/>
    <m/>
  </r>
  <r>
    <n v="591"/>
    <x v="9"/>
    <s v="Rajkot"/>
    <s v="21-04-2016"/>
    <s v="Gujarat Lions"/>
    <s v="Sunrisers Hyderabad"/>
    <x v="4"/>
    <x v="0"/>
    <s v="normal"/>
    <n v="0"/>
    <x v="0"/>
    <n v="0"/>
    <n v="10"/>
    <s v="B Kumar"/>
    <s v="Saurashtra Cricket Association Stadium"/>
    <s v="K Bharatan"/>
    <s v="HDPK Dharmasena"/>
    <m/>
  </r>
  <r>
    <n v="592"/>
    <x v="9"/>
    <s v="Pune"/>
    <s v="22-04-2016"/>
    <s v="Royal Challengers Bangalore"/>
    <s v="Rising Pune Supergiants"/>
    <x v="13"/>
    <x v="0"/>
    <s v="normal"/>
    <n v="0"/>
    <x v="4"/>
    <n v="13"/>
    <n v="0"/>
    <s v="AB de Villiers"/>
    <s v="Maharashtra Cricket Association Stadium"/>
    <s v="CB Gaffaney"/>
    <s v="VK Sharma"/>
    <m/>
  </r>
  <r>
    <n v="593"/>
    <x v="9"/>
    <s v="Delhi"/>
    <s v="23-04-2016"/>
    <s v="Delhi Daredevils"/>
    <s v="Mumbai Indians"/>
    <x v="5"/>
    <x v="0"/>
    <s v="normal"/>
    <n v="0"/>
    <x v="6"/>
    <n v="10"/>
    <n v="0"/>
    <s v="SV Samson"/>
    <s v="Feroz Shah Kotla"/>
    <s v="S Ravi"/>
    <s v="C Shamshuddin"/>
    <m/>
  </r>
  <r>
    <n v="594"/>
    <x v="9"/>
    <s v="Hyderabad"/>
    <s v="23-04-2016"/>
    <s v="Kings XI Punjab"/>
    <s v="Sunrisers Hyderabad"/>
    <x v="4"/>
    <x v="0"/>
    <s v="normal"/>
    <n v="0"/>
    <x v="0"/>
    <n v="0"/>
    <n v="5"/>
    <s v="Mustafizur Rahman"/>
    <s v="Rajiv Gandhi International Stadium, Uppal"/>
    <s v="AK Chaudhary"/>
    <s v="CK Nandan"/>
    <m/>
  </r>
  <r>
    <n v="595"/>
    <x v="9"/>
    <s v="Rajkot"/>
    <s v="24-04-2016"/>
    <s v="Royal Challengers Bangalore"/>
    <s v="Gujarat Lions"/>
    <x v="0"/>
    <x v="1"/>
    <s v="normal"/>
    <n v="0"/>
    <x v="7"/>
    <n v="0"/>
    <n v="6"/>
    <s v="V Kohli"/>
    <s v="Saurashtra Cricket Association Stadium"/>
    <s v="K Bharatan"/>
    <s v="BNJ Oxenford"/>
    <m/>
  </r>
  <r>
    <n v="596"/>
    <x v="9"/>
    <s v="Pune"/>
    <s v="24-04-2016"/>
    <s v="Rising Pune Supergiants"/>
    <s v="Kolkata Knight Riders"/>
    <x v="2"/>
    <x v="0"/>
    <s v="normal"/>
    <n v="0"/>
    <x v="2"/>
    <n v="0"/>
    <n v="2"/>
    <s v="SA Yadav"/>
    <s v="Maharashtra Cricket Association Stadium"/>
    <s v="CB Gaffaney"/>
    <s v="A Nand Kishore"/>
    <m/>
  </r>
  <r>
    <n v="597"/>
    <x v="9"/>
    <s v="Chandigarh"/>
    <s v="25-04-2016"/>
    <s v="Mumbai Indians"/>
    <s v="Kings XI Punjab"/>
    <x v="3"/>
    <x v="0"/>
    <s v="normal"/>
    <n v="0"/>
    <x v="5"/>
    <n v="25"/>
    <n v="0"/>
    <s v="PA Patel"/>
    <s v="Punjab Cricket Association IS Bindra Stadium, Mohali"/>
    <s v="Nitin Menon"/>
    <s v="RJ Tucker"/>
    <m/>
  </r>
  <r>
    <n v="598"/>
    <x v="9"/>
    <s v="Hyderabad"/>
    <s v="26-04-2016"/>
    <s v="Sunrisers Hyderabad"/>
    <s v="Rising Pune Supergiants"/>
    <x v="13"/>
    <x v="0"/>
    <s v="normal"/>
    <n v="1"/>
    <x v="14"/>
    <n v="34"/>
    <n v="0"/>
    <s v="AB Dinda"/>
    <s v="Rajiv Gandhi International Stadium, Uppal"/>
    <s v="AY Dandekar"/>
    <s v="CK Nandan"/>
    <m/>
  </r>
  <r>
    <n v="599"/>
    <x v="9"/>
    <s v="Delhi"/>
    <s v="27-04-2016"/>
    <s v="Gujarat Lions"/>
    <s v="Delhi Daredevils"/>
    <x v="7"/>
    <x v="0"/>
    <s v="normal"/>
    <n v="0"/>
    <x v="7"/>
    <n v="1"/>
    <n v="0"/>
    <s v="CH Morris"/>
    <s v="Feroz Shah Kotla"/>
    <s v="M Erasmus"/>
    <s v="S Ravi"/>
    <m/>
  </r>
  <r>
    <n v="600"/>
    <x v="9"/>
    <s v="Mumbai"/>
    <s v="28-04-2016"/>
    <s v="Kolkata Knight Riders"/>
    <s v="Mumbai Indians"/>
    <x v="5"/>
    <x v="0"/>
    <s v="normal"/>
    <n v="0"/>
    <x v="5"/>
    <n v="0"/>
    <n v="6"/>
    <s v="RG Sharma"/>
    <s v="Wankhede Stadium"/>
    <s v="Nitin Menon"/>
    <s v="RJ Tucker"/>
    <m/>
  </r>
  <r>
    <n v="601"/>
    <x v="9"/>
    <s v="Pune"/>
    <s v="29-04-2016"/>
    <s v="Rising Pune Supergiants"/>
    <s v="Gujarat Lions"/>
    <x v="6"/>
    <x v="0"/>
    <s v="normal"/>
    <n v="0"/>
    <x v="7"/>
    <n v="0"/>
    <n v="3"/>
    <s v="DR Smith"/>
    <s v="Maharashtra Cricket Association Stadium"/>
    <s v="CB Gaffaney"/>
    <s v="BNJ Oxenford"/>
    <m/>
  </r>
  <r>
    <n v="602"/>
    <x v="9"/>
    <s v="Delhi"/>
    <s v="30-04-2016"/>
    <s v="Delhi Daredevils"/>
    <s v="Kolkata Knight Riders"/>
    <x v="2"/>
    <x v="0"/>
    <s v="normal"/>
    <n v="0"/>
    <x v="6"/>
    <n v="27"/>
    <n v="0"/>
    <s v="CR Brathwaite"/>
    <s v="Feroz Shah Kotla"/>
    <s v="KN Ananthapadmanabhan"/>
    <s v="M Erasmus"/>
    <m/>
  </r>
  <r>
    <n v="603"/>
    <x v="9"/>
    <s v="Hyderabad"/>
    <s v="30-04-2016"/>
    <s v="Sunrisers Hyderabad"/>
    <s v="Royal Challengers Bangalore"/>
    <x v="0"/>
    <x v="0"/>
    <s v="normal"/>
    <n v="0"/>
    <x v="0"/>
    <n v="15"/>
    <n v="0"/>
    <s v="DA Warner"/>
    <s v="Rajiv Gandhi International Stadium, Uppal"/>
    <s v="AK Chaudhary"/>
    <s v="HDPK Dharmasena"/>
    <m/>
  </r>
  <r>
    <n v="604"/>
    <x v="9"/>
    <s v="Rajkot"/>
    <d v="2016-01-05T00:00:00"/>
    <s v="Kings XI Punjab"/>
    <s v="Gujarat Lions"/>
    <x v="6"/>
    <x v="0"/>
    <s v="normal"/>
    <n v="0"/>
    <x v="3"/>
    <n v="23"/>
    <n v="0"/>
    <s v="AR Patel"/>
    <s v="Saurashtra Cricket Association Stadium"/>
    <s v="BNJ Oxenford"/>
    <s v="VK Sharma"/>
    <m/>
  </r>
  <r>
    <n v="605"/>
    <x v="9"/>
    <s v="Pune"/>
    <d v="2016-01-05T00:00:00"/>
    <s v="Rising Pune Supergiants"/>
    <s v="Mumbai Indians"/>
    <x v="5"/>
    <x v="0"/>
    <s v="normal"/>
    <n v="0"/>
    <x v="5"/>
    <n v="0"/>
    <n v="8"/>
    <s v="RG Sharma"/>
    <s v="Maharashtra Cricket Association Stadium"/>
    <s v="AY Dandekar"/>
    <s v="RJ Tucker"/>
    <m/>
  </r>
  <r>
    <n v="606"/>
    <x v="9"/>
    <s v="Bangalore"/>
    <d v="2016-02-05T00:00:00"/>
    <s v="Royal Challengers Bangalore"/>
    <s v="Kolkata Knight Riders"/>
    <x v="2"/>
    <x v="0"/>
    <s v="normal"/>
    <n v="0"/>
    <x v="2"/>
    <n v="0"/>
    <n v="5"/>
    <s v="AD Russell"/>
    <s v="M Chinnaswamy Stadium"/>
    <s v="M Erasmus"/>
    <s v="S Ravi"/>
    <m/>
  </r>
  <r>
    <n v="607"/>
    <x v="9"/>
    <s v="Rajkot"/>
    <d v="2016-03-05T00:00:00"/>
    <s v="Gujarat Lions"/>
    <s v="Delhi Daredevils"/>
    <x v="7"/>
    <x v="0"/>
    <s v="normal"/>
    <n v="0"/>
    <x v="6"/>
    <n v="0"/>
    <n v="8"/>
    <s v="RR Pant"/>
    <s v="Saurashtra Cricket Association Stadium"/>
    <s v="CB Gaffaney"/>
    <s v="BNJ Oxenford"/>
    <m/>
  </r>
  <r>
    <n v="608"/>
    <x v="9"/>
    <s v="Kolkata"/>
    <d v="2016-04-05T00:00:00"/>
    <s v="Kolkata Knight Riders"/>
    <s v="Kings XI Punjab"/>
    <x v="3"/>
    <x v="0"/>
    <s v="normal"/>
    <n v="0"/>
    <x v="2"/>
    <n v="7"/>
    <n v="0"/>
    <s v="AD Russell"/>
    <s v="Eden Gardens"/>
    <s v="AK Chaudhary"/>
    <s v="HDPK Dharmasena"/>
    <m/>
  </r>
  <r>
    <n v="609"/>
    <x v="9"/>
    <s v="Delhi"/>
    <d v="2016-05-05T00:00:00"/>
    <s v="Delhi Daredevils"/>
    <s v="Rising Pune Supergiants"/>
    <x v="13"/>
    <x v="0"/>
    <s v="normal"/>
    <n v="0"/>
    <x v="14"/>
    <n v="0"/>
    <n v="7"/>
    <s v="AM Rahane"/>
    <s v="Feroz Shah Kotla"/>
    <s v="C Shamshuddin"/>
    <s v="RJ Tucker"/>
    <m/>
  </r>
  <r>
    <n v="610"/>
    <x v="9"/>
    <s v="Hyderabad"/>
    <d v="2016-06-05T00:00:00"/>
    <s v="Gujarat Lions"/>
    <s v="Sunrisers Hyderabad"/>
    <x v="4"/>
    <x v="0"/>
    <s v="normal"/>
    <n v="0"/>
    <x v="0"/>
    <n v="0"/>
    <n v="5"/>
    <s v="B Kumar"/>
    <s v="Rajiv Gandhi International Stadium, Uppal"/>
    <s v="M Erasmus"/>
    <s v="S Ravi"/>
    <m/>
  </r>
  <r>
    <n v="611"/>
    <x v="9"/>
    <s v="Bangalore"/>
    <d v="2016-07-05T00:00:00"/>
    <s v="Rising Pune Supergiants"/>
    <s v="Royal Challengers Bangalore"/>
    <x v="0"/>
    <x v="0"/>
    <s v="normal"/>
    <n v="0"/>
    <x v="4"/>
    <n v="0"/>
    <n v="7"/>
    <s v="V Kohli"/>
    <s v="M Chinnaswamy Stadium"/>
    <s v="CB Gaffaney"/>
    <s v="BNJ Oxenford"/>
    <m/>
  </r>
  <r>
    <n v="612"/>
    <x v="9"/>
    <s v="Chandigarh"/>
    <d v="2016-07-05T00:00:00"/>
    <s v="Kings XI Punjab"/>
    <s v="Delhi Daredevils"/>
    <x v="7"/>
    <x v="0"/>
    <s v="normal"/>
    <n v="0"/>
    <x v="3"/>
    <n v="9"/>
    <n v="0"/>
    <s v="MP Stoinis"/>
    <s v="Punjab Cricket Association IS Bindra Stadium, Mohali"/>
    <s v="HDPK Dharmasena"/>
    <s v="CK Nandan"/>
    <m/>
  </r>
  <r>
    <n v="613"/>
    <x v="9"/>
    <s v="Visakhapatnam"/>
    <d v="2016-08-05T00:00:00"/>
    <s v="Sunrisers Hyderabad"/>
    <s v="Mumbai Indians"/>
    <x v="5"/>
    <x v="0"/>
    <s v="normal"/>
    <n v="0"/>
    <x v="0"/>
    <n v="85"/>
    <n v="0"/>
    <s v="A Nehra"/>
    <s v="Dr. Y.S. Rajasekhara Reddy ACA-VDCA Cricket Stadium"/>
    <s v="S Ravi"/>
    <s v="C Shamshuddin"/>
    <m/>
  </r>
  <r>
    <n v="614"/>
    <x v="9"/>
    <s v="Kolkata"/>
    <d v="2016-08-05T00:00:00"/>
    <s v="Kolkata Knight Riders"/>
    <s v="Gujarat Lions"/>
    <x v="6"/>
    <x v="0"/>
    <s v="normal"/>
    <n v="0"/>
    <x v="7"/>
    <n v="0"/>
    <n v="5"/>
    <s v="P Kumar"/>
    <s v="Eden Gardens"/>
    <s v="M Erasmus"/>
    <s v="RJ Tucker"/>
    <m/>
  </r>
  <r>
    <n v="615"/>
    <x v="9"/>
    <s v="Chandigarh"/>
    <d v="2016-09-05T00:00:00"/>
    <s v="Royal Challengers Bangalore"/>
    <s v="Kings XI Punjab"/>
    <x v="3"/>
    <x v="0"/>
    <s v="normal"/>
    <n v="0"/>
    <x v="4"/>
    <n v="1"/>
    <n v="0"/>
    <s v="SR Watson"/>
    <s v="Punjab Cricket Association IS Bindra Stadium, Mohali"/>
    <s v="AK Chaudhary"/>
    <s v="HDPK Dharmasena"/>
    <m/>
  </r>
  <r>
    <n v="616"/>
    <x v="9"/>
    <s v="Visakhapatnam"/>
    <d v="2016-10-05T00:00:00"/>
    <s v="Sunrisers Hyderabad"/>
    <s v="Rising Pune Supergiants"/>
    <x v="4"/>
    <x v="1"/>
    <s v="normal"/>
    <n v="0"/>
    <x v="0"/>
    <n v="4"/>
    <n v="0"/>
    <s v="A Zampa"/>
    <s v="Dr. Y.S. Rajasekhara Reddy ACA-VDCA Cricket Stadium"/>
    <s v="CB Gaffaney"/>
    <s v="VK Sharma"/>
    <m/>
  </r>
  <r>
    <n v="617"/>
    <x v="9"/>
    <s v="Bangalore"/>
    <d v="2016-11-05T00:00:00"/>
    <s v="Royal Challengers Bangalore"/>
    <s v="Mumbai Indians"/>
    <x v="5"/>
    <x v="0"/>
    <s v="normal"/>
    <n v="0"/>
    <x v="5"/>
    <n v="0"/>
    <n v="6"/>
    <s v="KH Pandya"/>
    <s v="M Chinnaswamy Stadium"/>
    <s v="AY Dandekar"/>
    <s v="C Shamshuddin"/>
    <m/>
  </r>
  <r>
    <n v="618"/>
    <x v="9"/>
    <s v="Hyderabad"/>
    <d v="2016-12-05T00:00:00"/>
    <s v="Sunrisers Hyderabad"/>
    <s v="Delhi Daredevils"/>
    <x v="7"/>
    <x v="0"/>
    <s v="normal"/>
    <n v="0"/>
    <x v="6"/>
    <n v="0"/>
    <n v="7"/>
    <s v="CH Morris"/>
    <s v="Rajiv Gandhi International Stadium, Uppal"/>
    <s v="K Bharatan"/>
    <s v="M Erasmus"/>
    <m/>
  </r>
  <r>
    <n v="619"/>
    <x v="9"/>
    <s v="Visakhapatnam"/>
    <s v="13-05-2016"/>
    <s v="Mumbai Indians"/>
    <s v="Kings XI Punjab"/>
    <x v="5"/>
    <x v="1"/>
    <s v="normal"/>
    <n v="0"/>
    <x v="3"/>
    <n v="0"/>
    <n v="7"/>
    <s v="MP Stoinis"/>
    <s v="Dr. Y.S. Rajasekhara Reddy ACA-VDCA Cricket Stadium"/>
    <s v="HDPK Dharmasena"/>
    <s v="CK Nandan"/>
    <m/>
  </r>
  <r>
    <n v="620"/>
    <x v="9"/>
    <s v="Bangalore"/>
    <s v="14-05-2016"/>
    <s v="Royal Challengers Bangalore"/>
    <s v="Gujarat Lions"/>
    <x v="6"/>
    <x v="0"/>
    <s v="normal"/>
    <n v="0"/>
    <x v="4"/>
    <n v="144"/>
    <n v="0"/>
    <s v="AB de Villiers"/>
    <s v="M Chinnaswamy Stadium"/>
    <s v="AY Dandekar"/>
    <s v="VK Sharma"/>
    <m/>
  </r>
  <r>
    <n v="621"/>
    <x v="9"/>
    <s v="Kolkata"/>
    <s v="14-05-2016"/>
    <s v="Rising Pune Supergiants"/>
    <s v="Kolkata Knight Riders"/>
    <x v="13"/>
    <x v="1"/>
    <s v="normal"/>
    <n v="1"/>
    <x v="2"/>
    <n v="0"/>
    <n v="8"/>
    <s v="YK Pathan"/>
    <s v="Eden Gardens"/>
    <s v="A Nand Kishore"/>
    <s v="BNJ Oxenford"/>
    <m/>
  </r>
  <r>
    <n v="622"/>
    <x v="9"/>
    <s v="Chandigarh"/>
    <s v="15-05-2016"/>
    <s v="Kings XI Punjab"/>
    <s v="Sunrisers Hyderabad"/>
    <x v="3"/>
    <x v="1"/>
    <s v="normal"/>
    <n v="0"/>
    <x v="0"/>
    <n v="0"/>
    <n v="7"/>
    <s v="HM Amla"/>
    <s v="Punjab Cricket Association IS Bindra Stadium, Mohali"/>
    <s v="KN Ananthapadmanabhan"/>
    <s v="M Erasmus"/>
    <m/>
  </r>
  <r>
    <n v="623"/>
    <x v="9"/>
    <s v="Visakhapatnam"/>
    <s v="15-05-2016"/>
    <s v="Mumbai Indians"/>
    <s v="Delhi Daredevils"/>
    <x v="7"/>
    <x v="0"/>
    <s v="normal"/>
    <n v="0"/>
    <x v="5"/>
    <n v="80"/>
    <n v="0"/>
    <s v="KH Pandya"/>
    <s v="Dr. Y.S. Rajasekhara Reddy ACA-VDCA Cricket Stadium"/>
    <s v="Nitin Menon"/>
    <s v="CK Nandan"/>
    <m/>
  </r>
  <r>
    <n v="624"/>
    <x v="9"/>
    <s v="Kolkata"/>
    <s v="16-05-2016"/>
    <s v="Kolkata Knight Riders"/>
    <s v="Royal Challengers Bangalore"/>
    <x v="0"/>
    <x v="0"/>
    <s v="normal"/>
    <n v="0"/>
    <x v="4"/>
    <n v="0"/>
    <n v="9"/>
    <s v="V Kohli"/>
    <s v="Eden Gardens"/>
    <s v="CB Gaffaney"/>
    <s v="A Nand Kishore"/>
    <m/>
  </r>
  <r>
    <n v="625"/>
    <x v="9"/>
    <s v="Visakhapatnam"/>
    <s v="17-05-2016"/>
    <s v="Delhi Daredevils"/>
    <s v="Rising Pune Supergiants"/>
    <x v="13"/>
    <x v="0"/>
    <s v="normal"/>
    <n v="1"/>
    <x v="14"/>
    <n v="19"/>
    <n v="0"/>
    <s v="AB Dinda"/>
    <s v="Dr. Y.S. Rajasekhara Reddy ACA-VDCA Cricket Stadium"/>
    <s v="Nitin Menon"/>
    <s v="C Shamshuddin"/>
    <m/>
  </r>
  <r>
    <n v="626"/>
    <x v="9"/>
    <s v="Bangalore"/>
    <s v="18-05-2016"/>
    <s v="Royal Challengers Bangalore"/>
    <s v="Kings XI Punjab"/>
    <x v="3"/>
    <x v="0"/>
    <s v="normal"/>
    <n v="1"/>
    <x v="4"/>
    <n v="82"/>
    <n v="0"/>
    <s v="V Kohli"/>
    <s v="M Chinnaswamy Stadium"/>
    <s v="KN Ananthapadmanabhan"/>
    <s v="M Erasmus"/>
    <m/>
  </r>
  <r>
    <n v="627"/>
    <x v="9"/>
    <s v="Kanpur"/>
    <s v="19-05-2016"/>
    <s v="Kolkata Knight Riders"/>
    <s v="Gujarat Lions"/>
    <x v="6"/>
    <x v="0"/>
    <s v="normal"/>
    <n v="0"/>
    <x v="7"/>
    <n v="0"/>
    <n v="6"/>
    <s v="DR Smith"/>
    <s v="Green Park"/>
    <s v="AK Chaudhary"/>
    <s v="CK Nandan"/>
    <m/>
  </r>
  <r>
    <n v="628"/>
    <x v="9"/>
    <s v="Raipur"/>
    <s v="20-05-2016"/>
    <s v="Sunrisers Hyderabad"/>
    <s v="Delhi Daredevils"/>
    <x v="7"/>
    <x v="0"/>
    <s v="normal"/>
    <n v="0"/>
    <x v="6"/>
    <n v="0"/>
    <n v="6"/>
    <s v="KK Nair"/>
    <s v="Shaheed Veer Narayan Singh International Stadium"/>
    <s v="A Nand Kishore"/>
    <s v="BNJ Oxenford"/>
    <m/>
  </r>
  <r>
    <n v="629"/>
    <x v="9"/>
    <s v="Visakhapatnam"/>
    <s v="21-05-2016"/>
    <s v="Kings XI Punjab"/>
    <s v="Rising Pune Supergiants"/>
    <x v="3"/>
    <x v="1"/>
    <s v="normal"/>
    <n v="0"/>
    <x v="14"/>
    <n v="0"/>
    <n v="4"/>
    <s v="MS Dhoni"/>
    <s v="Dr. Y.S. Rajasekhara Reddy ACA-VDCA Cricket Stadium"/>
    <s v="HDPK Dharmasena"/>
    <s v="Nitin Menon"/>
    <m/>
  </r>
  <r>
    <n v="630"/>
    <x v="9"/>
    <s v="Kanpur"/>
    <s v="21-05-2016"/>
    <s v="Mumbai Indians"/>
    <s v="Gujarat Lions"/>
    <x v="6"/>
    <x v="0"/>
    <s v="normal"/>
    <n v="0"/>
    <x v="7"/>
    <n v="0"/>
    <n v="6"/>
    <s v="SK Raina"/>
    <s v="Green Park"/>
    <s v="AK Chaudhary"/>
    <s v="CK Nandan"/>
    <m/>
  </r>
  <r>
    <n v="631"/>
    <x v="9"/>
    <s v="Kolkata"/>
    <s v="22-05-2016"/>
    <s v="Kolkata Knight Riders"/>
    <s v="Sunrisers Hyderabad"/>
    <x v="4"/>
    <x v="0"/>
    <s v="normal"/>
    <n v="0"/>
    <x v="2"/>
    <n v="22"/>
    <n v="0"/>
    <s v="YK Pathan"/>
    <s v="Eden Gardens"/>
    <s v="KN Ananthapadmanabhan"/>
    <s v="M Erasmus"/>
    <m/>
  </r>
  <r>
    <n v="632"/>
    <x v="9"/>
    <s v="Raipur"/>
    <s v="22-05-2016"/>
    <s v="Delhi Daredevils"/>
    <s v="Royal Challengers Bangalore"/>
    <x v="0"/>
    <x v="0"/>
    <s v="normal"/>
    <n v="0"/>
    <x v="4"/>
    <n v="0"/>
    <n v="6"/>
    <s v="V Kohli"/>
    <s v="Shaheed Veer Narayan Singh International Stadium"/>
    <s v="A Nand Kishore"/>
    <s v="BNJ Oxenford"/>
    <m/>
  </r>
  <r>
    <n v="633"/>
    <x v="9"/>
    <s v="Bangalore"/>
    <s v="24-05-2016"/>
    <s v="Gujarat Lions"/>
    <s v="Royal Challengers Bangalore"/>
    <x v="0"/>
    <x v="0"/>
    <s v="normal"/>
    <n v="0"/>
    <x v="4"/>
    <n v="0"/>
    <n v="4"/>
    <s v="AB de Villiers"/>
    <s v="M Chinnaswamy Stadium"/>
    <s v="AK Chaudhary"/>
    <s v="HDPK Dharmasena"/>
    <m/>
  </r>
  <r>
    <n v="634"/>
    <x v="9"/>
    <s v="Delhi"/>
    <s v="25-05-2016"/>
    <s v="Sunrisers Hyderabad"/>
    <s v="Kolkata Knight Riders"/>
    <x v="2"/>
    <x v="0"/>
    <s v="normal"/>
    <n v="0"/>
    <x v="0"/>
    <n v="22"/>
    <n v="0"/>
    <s v="MC Henriques"/>
    <s v="Feroz Shah Kotla"/>
    <s v="M Erasmus"/>
    <s v="C Shamshuddin"/>
    <m/>
  </r>
  <r>
    <n v="635"/>
    <x v="9"/>
    <s v="Delhi"/>
    <s v="27-05-2016"/>
    <s v="Gujarat Lions"/>
    <s v="Sunrisers Hyderabad"/>
    <x v="4"/>
    <x v="0"/>
    <s v="normal"/>
    <n v="0"/>
    <x v="0"/>
    <n v="0"/>
    <n v="4"/>
    <s v="DA Warner"/>
    <s v="Feroz Shah Kotla"/>
    <s v="M Erasmus"/>
    <s v="CK Nandan"/>
    <m/>
  </r>
  <r>
    <n v="636"/>
    <x v="9"/>
    <s v="Bangalore"/>
    <s v="29-05-2016"/>
    <s v="Sunrisers Hyderabad"/>
    <s v="Royal Challengers Bangalore"/>
    <x v="4"/>
    <x v="1"/>
    <s v="normal"/>
    <n v="0"/>
    <x v="0"/>
    <n v="8"/>
    <n v="0"/>
    <s v="BCJ Cutting"/>
    <s v="M Chinnaswamy Stadium"/>
    <s v="HDPK Dharmasena"/>
    <s v="BNJ Oxenford"/>
    <m/>
  </r>
  <r>
    <n v="7894"/>
    <x v="10"/>
    <s v="Mumbai"/>
    <d v="2018-07-04T00:00:00"/>
    <s v="Mumbai Indians"/>
    <s v="Chennai Super Kings"/>
    <x v="8"/>
    <x v="0"/>
    <s v="normal"/>
    <n v="0"/>
    <x v="8"/>
    <n v="0"/>
    <n v="1"/>
    <s v="DJ Bravo"/>
    <s v="Wankhede Stadium"/>
    <s v="Chris Gaffaney"/>
    <s v="A Nanda Kishore"/>
    <s v="Anil Chaudhary"/>
  </r>
  <r>
    <n v="7895"/>
    <x v="10"/>
    <s v="Mohali"/>
    <d v="2018-08-04T00:00:00"/>
    <s v="Delhi Daredevils"/>
    <s v="Kings XI Punjab"/>
    <x v="3"/>
    <x v="0"/>
    <s v="normal"/>
    <n v="0"/>
    <x v="3"/>
    <n v="0"/>
    <n v="6"/>
    <s v="KL Rahul"/>
    <s v="Punjab Cricket Association IS Bindra Stadium, Mohali"/>
    <s v="Rod Tucker"/>
    <s v="K Ananthapadmanabhan"/>
    <s v="Nitin Menon"/>
  </r>
  <r>
    <n v="7896"/>
    <x v="10"/>
    <s v="Kolkata"/>
    <d v="2018-08-04T00:00:00"/>
    <s v="Royal Challengers Bangalore"/>
    <s v="Kolkata Knight Riders"/>
    <x v="2"/>
    <x v="0"/>
    <s v="normal"/>
    <n v="0"/>
    <x v="2"/>
    <n v="0"/>
    <n v="4"/>
    <s v="SP Narine"/>
    <s v="Eden Gardens"/>
    <s v="C Shamshuddin"/>
    <s v="A.D Deshmukh"/>
    <s v="S Ravi"/>
  </r>
  <r>
    <n v="7897"/>
    <x v="10"/>
    <s v="Hyderabad"/>
    <d v="2018-09-04T00:00:00"/>
    <s v="Rajasthan Royals"/>
    <s v="Sunrisers Hyderabad"/>
    <x v="4"/>
    <x v="0"/>
    <s v="normal"/>
    <n v="0"/>
    <x v="0"/>
    <n v="0"/>
    <n v="9"/>
    <s v="S Dhawan"/>
    <s v="Rajiv Gandhi International Stadium, Uppal"/>
    <s v="Nigel Llong"/>
    <s v="Vineet Kulkarni"/>
    <s v="O Nandan"/>
  </r>
  <r>
    <n v="7898"/>
    <x v="10"/>
    <s v="Chennai"/>
    <d v="2018-10-04T00:00:00"/>
    <s v="Kolkata Knight Riders"/>
    <s v="Chennai Super Kings"/>
    <x v="8"/>
    <x v="0"/>
    <s v="normal"/>
    <n v="0"/>
    <x v="8"/>
    <n v="0"/>
    <n v="5"/>
    <s v="SW Billings"/>
    <s v="MA Chidambaram Stadium, Chepauk"/>
    <s v="Anil Chaudhary"/>
    <s v="Chris Gaffaney"/>
    <s v="A Nanda Kishore"/>
  </r>
  <r>
    <n v="7899"/>
    <x v="10"/>
    <s v="Jaipur"/>
    <d v="2018-11-04T00:00:00"/>
    <s v="Rajasthan Royals"/>
    <s v="Delhi Daredevils"/>
    <x v="7"/>
    <x v="0"/>
    <s v="normal"/>
    <n v="1"/>
    <x v="9"/>
    <n v="10"/>
    <n v="0"/>
    <s v="SV Samson"/>
    <s v="Sawai Mansingh Stadium"/>
    <s v="K Ananthapadmanabhan"/>
    <s v="Rod Tucker"/>
    <s v="Nitin Menon"/>
  </r>
  <r>
    <n v="7900"/>
    <x v="10"/>
    <s v="Hyderabad"/>
    <d v="2018-12-04T00:00:00"/>
    <s v="Mumbai Indians"/>
    <s v="Sunrisers Hyderabad"/>
    <x v="4"/>
    <x v="0"/>
    <s v="normal"/>
    <n v="0"/>
    <x v="0"/>
    <n v="0"/>
    <n v="1"/>
    <s v="Rashid Khan"/>
    <s v="Rajiv Gandhi International Stadium, Uppal"/>
    <s v="O Nandan"/>
    <s v="Nigel Llong"/>
    <s v="Vineet Kulkarni"/>
  </r>
  <r>
    <n v="7901"/>
    <x v="10"/>
    <s v="Bengaluru"/>
    <s v="13-04-2018"/>
    <s v="Kings XI Punjab"/>
    <s v="Royal Challengers Bangalore"/>
    <x v="0"/>
    <x v="0"/>
    <s v="normal"/>
    <n v="0"/>
    <x v="4"/>
    <n v="0"/>
    <n v="4"/>
    <s v="UT Yadav"/>
    <s v="M Chinnaswamy Stadium"/>
    <s v="S Ravi"/>
    <s v="A.D Deshmukh"/>
    <s v="C Shamshuddin"/>
  </r>
  <r>
    <n v="7902"/>
    <x v="10"/>
    <s v="Mumbai"/>
    <s v="14-04-2018"/>
    <s v="Mumbai Indians"/>
    <s v="Delhi Daredevils"/>
    <x v="7"/>
    <x v="0"/>
    <s v="normal"/>
    <n v="0"/>
    <x v="6"/>
    <n v="0"/>
    <n v="7"/>
    <s v="JJ Roy"/>
    <s v="Wankhede Stadium"/>
    <s v="K Ananthapadmanabhan"/>
    <s v="Nitin Menon"/>
    <s v="Rod Tucker"/>
  </r>
  <r>
    <n v="7903"/>
    <x v="10"/>
    <s v="Kolkata"/>
    <s v="14-04-2018"/>
    <s v="Kolkata Knight Riders"/>
    <s v="Sunrisers Hyderabad"/>
    <x v="4"/>
    <x v="0"/>
    <s v="normal"/>
    <n v="0"/>
    <x v="0"/>
    <n v="0"/>
    <n v="5"/>
    <s v="B Stanlake"/>
    <s v="Eden Gardens"/>
    <s v="A Nanda Kishore"/>
    <s v="Anil Chaudhary"/>
    <s v="Chris Gaffaney"/>
  </r>
  <r>
    <n v="7904"/>
    <x v="10"/>
    <s v="Bengaluru"/>
    <s v="15-04-2018"/>
    <s v="Rajasthan Royals"/>
    <s v="Royal Challengers Bangalore"/>
    <x v="0"/>
    <x v="0"/>
    <s v="normal"/>
    <n v="0"/>
    <x v="9"/>
    <n v="19"/>
    <n v="0"/>
    <s v="SV Samson"/>
    <s v="M Chinnaswamy Stadium"/>
    <s v="C Shamshuddin"/>
    <s v="S Ravi"/>
    <s v="A.D Deshmukh"/>
  </r>
  <r>
    <n v="7905"/>
    <x v="10"/>
    <s v="Mohali"/>
    <s v="15-04-2018"/>
    <s v="Kings XI Punjab"/>
    <s v="Chennai Super Kings"/>
    <x v="8"/>
    <x v="0"/>
    <s v="normal"/>
    <n v="0"/>
    <x v="3"/>
    <n v="4"/>
    <n v="0"/>
    <s v="CH Gayle"/>
    <s v="Punjab Cricket Association IS Bindra Stadium, Mohali"/>
    <s v="Vineet Kulkarni"/>
    <s v="O Nandan"/>
    <s v="Nigel Llong"/>
  </r>
  <r>
    <n v="7906"/>
    <x v="10"/>
    <s v="Kolkata"/>
    <s v="16-04-2018"/>
    <s v="Kolkata Knight Riders"/>
    <s v="Delhi Daredevils"/>
    <x v="7"/>
    <x v="0"/>
    <s v="normal"/>
    <n v="0"/>
    <x v="2"/>
    <n v="71"/>
    <n v="0"/>
    <s v="N Rana"/>
    <s v="Eden Gardens"/>
    <s v="Anil Chaudhary"/>
    <s v="A Nanda Kishore"/>
    <s v="Chris Gaffaney"/>
  </r>
  <r>
    <n v="7907"/>
    <x v="10"/>
    <s v="Mumbai"/>
    <s v="17-04-2018"/>
    <s v="Mumbai Indians"/>
    <s v="Royal Challengers Bangalore"/>
    <x v="0"/>
    <x v="0"/>
    <s v="normal"/>
    <n v="0"/>
    <x v="5"/>
    <n v="46"/>
    <n v="0"/>
    <s v="RG Sharma"/>
    <s v="Wankhede Stadium"/>
    <s v="Rod Tucker"/>
    <s v="Nitin Menon"/>
    <s v="K Ananthapadmanabhan"/>
  </r>
  <r>
    <n v="7908"/>
    <x v="10"/>
    <s v="Jaipur"/>
    <s v="18-04-2018"/>
    <s v="Rajasthan Royals"/>
    <s v="Kolkata Knight Riders"/>
    <x v="2"/>
    <x v="0"/>
    <s v="normal"/>
    <n v="0"/>
    <x v="2"/>
    <n v="0"/>
    <n v="7"/>
    <s v="N Rana"/>
    <s v="Sawai Mansingh Stadium"/>
    <s v="S Ravi"/>
    <s v="A.D Deshmukh"/>
    <s v="C Shamshuddin"/>
  </r>
  <r>
    <n v="7909"/>
    <x v="10"/>
    <s v="Mohali"/>
    <s v="19-04-2018"/>
    <s v="Kings XI Punjab"/>
    <s v="Sunrisers Hyderabad"/>
    <x v="3"/>
    <x v="1"/>
    <s v="normal"/>
    <n v="0"/>
    <x v="3"/>
    <n v="15"/>
    <n v="0"/>
    <s v="CH Gayle"/>
    <s v="Punjab Cricket Association IS Bindra Stadium, Mohali"/>
    <s v="Nigel Llong"/>
    <s v="Anil Chaudhary"/>
    <s v="Vineet Kulkarni"/>
  </r>
  <r>
    <n v="7910"/>
    <x v="10"/>
    <s v="Pune"/>
    <s v="20-04-2018"/>
    <s v="Chennai Super Kings"/>
    <s v="Rajasthan Royals"/>
    <x v="9"/>
    <x v="0"/>
    <s v="normal"/>
    <n v="0"/>
    <x v="8"/>
    <n v="64"/>
    <n v="0"/>
    <s v="SR Watson"/>
    <s v="Maharashtra Cricket Association Stadium"/>
    <s v="Nitin Menon"/>
    <s v="K Ananthapadmanabhan"/>
    <s v="Rod Tucker"/>
  </r>
  <r>
    <n v="7911"/>
    <x v="10"/>
    <s v="Kolkata"/>
    <s v="21-04-2018"/>
    <s v="Kolkata Knight Riders"/>
    <s v="Kings XI Punjab"/>
    <x v="3"/>
    <x v="0"/>
    <s v="normal"/>
    <n v="1"/>
    <x v="3"/>
    <n v="0"/>
    <n v="9"/>
    <s v="KL Rahul"/>
    <s v="Eden Gardens"/>
    <s v="C Shamshuddin"/>
    <s v="A.D Deshmukh"/>
    <s v="S Ravi"/>
  </r>
  <r>
    <n v="7912"/>
    <x v="10"/>
    <s v="Bengaluru"/>
    <s v="21-04-2018"/>
    <s v="Delhi Daredevils"/>
    <s v="Royal Challengers Bangalore"/>
    <x v="0"/>
    <x v="0"/>
    <s v="normal"/>
    <n v="0"/>
    <x v="4"/>
    <n v="0"/>
    <n v="6"/>
    <s v="AB de Villiers"/>
    <s v="M Chinnaswamy Stadium"/>
    <s v="Chris Gaffaney"/>
    <s v="O Nandan"/>
    <s v="A Nanda Kishore"/>
  </r>
  <r>
    <n v="7913"/>
    <x v="10"/>
    <s v="Hyderabad"/>
    <s v="22-04-2018"/>
    <s v="Chennai Super Kings"/>
    <s v="Sunrisers Hyderabad"/>
    <x v="4"/>
    <x v="0"/>
    <s v="normal"/>
    <n v="0"/>
    <x v="8"/>
    <n v="4"/>
    <n v="0"/>
    <s v="AT Rayudu"/>
    <s v="Rajiv Gandhi International Stadium, Uppal"/>
    <s v="Anil Chaudhary"/>
    <s v="Vineet Kulkarni"/>
    <s v="Nigel Llong"/>
  </r>
  <r>
    <n v="7914"/>
    <x v="10"/>
    <s v="Jaipur"/>
    <s v="22-04-2018"/>
    <s v="Mumbai Indians"/>
    <s v="Rajasthan Royals"/>
    <x v="5"/>
    <x v="1"/>
    <s v="normal"/>
    <n v="0"/>
    <x v="9"/>
    <n v="0"/>
    <n v="3"/>
    <s v="J Archer"/>
    <s v="Sawai Mansingh Stadium"/>
    <s v="Rod Tucker"/>
    <s v="K Ananthapadmanabhan"/>
    <s v="Nitin Menon"/>
  </r>
  <r>
    <n v="7915"/>
    <x v="10"/>
    <s v="Delhi"/>
    <s v="23-04-2018"/>
    <s v="Kings XI Punjab"/>
    <s v="Delhi Daredevils"/>
    <x v="7"/>
    <x v="0"/>
    <s v="normal"/>
    <n v="0"/>
    <x v="3"/>
    <n v="4"/>
    <n v="0"/>
    <s v="AS Rajpoot"/>
    <s v="Feroz Shah Kotla"/>
    <s v="O Nandan"/>
    <s v="A Nanda Kishore"/>
    <s v="Chris Gaffaney"/>
  </r>
  <r>
    <n v="7916"/>
    <x v="10"/>
    <s v="Mumbai"/>
    <s v="24-04-2018"/>
    <s v="Sunrisers Hyderabad"/>
    <s v="Mumbai Indians"/>
    <x v="5"/>
    <x v="0"/>
    <s v="normal"/>
    <n v="0"/>
    <x v="0"/>
    <n v="31"/>
    <n v="0"/>
    <s v="Rashid Khan"/>
    <s v="Wankhede Stadium"/>
    <s v="C Shamshuddin"/>
    <s v="S Ravi"/>
    <s v="A.D Deshmukh"/>
  </r>
  <r>
    <n v="7917"/>
    <x v="10"/>
    <s v="Bengaluru"/>
    <s v="25-04-2018"/>
    <s v="Royal Challengers Bangalore"/>
    <s v="Chennai Super Kings"/>
    <x v="8"/>
    <x v="0"/>
    <s v="normal"/>
    <n v="0"/>
    <x v="8"/>
    <n v="0"/>
    <n v="5"/>
    <s v="MS Dhoni"/>
    <s v="M Chinnaswamy Stadium"/>
    <s v="Nigel Llong"/>
    <s v="Virender Kumar Sharma"/>
    <s v="Anil Chaudhary"/>
  </r>
  <r>
    <n v="7918"/>
    <x v="10"/>
    <s v="Hyderabad"/>
    <s v="26-04-2018"/>
    <s v="Sunrisers Hyderabad"/>
    <s v="Kings XI Punjab"/>
    <x v="3"/>
    <x v="0"/>
    <s v="normal"/>
    <n v="0"/>
    <x v="0"/>
    <n v="13"/>
    <n v="0"/>
    <s v="AS Rajpoot"/>
    <s v="Rajiv Gandhi International Stadium, Uppal"/>
    <s v="O Nandan"/>
    <s v="Yeshwant Barde"/>
    <s v="Rod Tucker"/>
  </r>
  <r>
    <n v="7919"/>
    <x v="10"/>
    <s v="Delhi"/>
    <s v="27-04-2018"/>
    <s v="Delhi Daredevils"/>
    <s v="Kolkata Knight Riders"/>
    <x v="2"/>
    <x v="0"/>
    <s v="normal"/>
    <n v="0"/>
    <x v="6"/>
    <n v="55"/>
    <n v="0"/>
    <s v="SS Iyer"/>
    <s v="Feroz Shah Kotla"/>
    <s v="C Shamshuddin"/>
    <s v="S Ravi"/>
    <s v="A Nanda Kishore"/>
  </r>
  <r>
    <n v="7920"/>
    <x v="10"/>
    <s v="Pune"/>
    <s v="28-04-2018"/>
    <s v="Chennai Super Kings"/>
    <s v="Mumbai Indians"/>
    <x v="5"/>
    <x v="0"/>
    <s v="normal"/>
    <n v="0"/>
    <x v="5"/>
    <n v="0"/>
    <n v="8"/>
    <s v="RG Sharma"/>
    <s v="Maharashtra Cricket Association Stadium"/>
    <s v="Chris Gaffaney"/>
    <s v="Nitin Menon"/>
    <s v="Anil Dandekar"/>
  </r>
  <r>
    <n v="7921"/>
    <x v="10"/>
    <s v="Jaipur"/>
    <s v="29-04-2018"/>
    <s v="Sunrisers Hyderabad"/>
    <s v="Rajasthan Royals"/>
    <x v="4"/>
    <x v="1"/>
    <s v="normal"/>
    <n v="0"/>
    <x v="0"/>
    <n v="11"/>
    <n v="0"/>
    <s v="KS Williamson"/>
    <s v="Sawai Mansingh Stadium"/>
    <s v="Bruce Oxenford"/>
    <s v="A Nanda Kishore"/>
    <s v="S Ravi"/>
  </r>
  <r>
    <n v="7922"/>
    <x v="10"/>
    <s v="Bengaluru"/>
    <s v="29-04-2018"/>
    <s v="Royal Challengers Bangalore"/>
    <s v="Kolkata Knight Riders"/>
    <x v="2"/>
    <x v="0"/>
    <s v="normal"/>
    <n v="0"/>
    <x v="2"/>
    <n v="0"/>
    <n v="6"/>
    <s v="CA Lynn"/>
    <s v="M Chinnaswamy Stadium"/>
    <s v="Nigel Llong"/>
    <s v="Anil Chaudhary"/>
    <s v="Virender Kumar Sharma"/>
  </r>
  <r>
    <n v="7923"/>
    <x v="10"/>
    <s v="Pune"/>
    <s v="30-04-2018"/>
    <s v="Chennai Super Kings"/>
    <s v="Delhi Daredevils"/>
    <x v="7"/>
    <x v="0"/>
    <s v="normal"/>
    <n v="0"/>
    <x v="8"/>
    <n v="13"/>
    <n v="0"/>
    <s v="SR Watson"/>
    <s v="Maharashtra Cricket Association Stadium"/>
    <s v="C Shamshuddin"/>
    <s v="Anil Dandekar"/>
    <s v="O Nandan"/>
  </r>
  <r>
    <n v="7924"/>
    <x v="10"/>
    <s v="Bengaluru"/>
    <d v="2018-01-05T00:00:00"/>
    <s v="Royal Challengers Bangalore"/>
    <s v="Mumbai Indians"/>
    <x v="5"/>
    <x v="0"/>
    <s v="normal"/>
    <n v="0"/>
    <x v="4"/>
    <n v="14"/>
    <n v="0"/>
    <s v="TG Southee"/>
    <s v="M Chinnaswamy Stadium"/>
    <s v="Marais Erasmus"/>
    <s v="Nitin Menon"/>
    <s v="Yeshwant Barde"/>
  </r>
  <r>
    <n v="7925"/>
    <x v="10"/>
    <s v="Delhi"/>
    <d v="2018-02-05T00:00:00"/>
    <s v="Delhi Daredevils"/>
    <s v="Rajasthan Royals"/>
    <x v="9"/>
    <x v="0"/>
    <s v="normal"/>
    <n v="1"/>
    <x v="6"/>
    <n v="4"/>
    <n v="0"/>
    <s v="RR Pant"/>
    <s v="Feroz Shah Kotla"/>
    <s v="O Nandan"/>
    <s v="Virender Kumar Sharma"/>
    <s v="Bruce Oxenford"/>
  </r>
  <r>
    <n v="7926"/>
    <x v="10"/>
    <s v="Kolkata"/>
    <d v="2018-03-05T00:00:00"/>
    <s v="Chennai Super Kings"/>
    <s v="Kolkata Knight Riders"/>
    <x v="2"/>
    <x v="0"/>
    <s v="normal"/>
    <n v="0"/>
    <x v="2"/>
    <n v="0"/>
    <n v="6"/>
    <s v="SP Narine"/>
    <s v="Eden Gardens"/>
    <s v="Kumar Dharmasena"/>
    <s v="A.D Deshmukh"/>
    <s v="Anil Chaudhary"/>
  </r>
  <r>
    <n v="7927"/>
    <x v="10"/>
    <s v="Indore"/>
    <d v="2018-04-05T00:00:00"/>
    <s v="Kings XI Punjab"/>
    <s v="Mumbai Indians"/>
    <x v="5"/>
    <x v="0"/>
    <s v="normal"/>
    <n v="0"/>
    <x v="5"/>
    <n v="0"/>
    <n v="6"/>
    <s v="AS Yadav"/>
    <s v="Holkar Cricket Stadium"/>
    <s v="S Ravi"/>
    <s v="Anil Dandekar"/>
    <s v="C Shamshuddin"/>
  </r>
  <r>
    <n v="7928"/>
    <x v="10"/>
    <s v="Pune"/>
    <d v="2018-05-05T00:00:00"/>
    <s v="Royal Challengers Bangalore"/>
    <s v="Chennai Super Kings"/>
    <x v="8"/>
    <x v="0"/>
    <s v="normal"/>
    <n v="0"/>
    <x v="8"/>
    <n v="0"/>
    <n v="6"/>
    <s v="RA Jadeja"/>
    <s v="Maharashtra Cricket Association Stadium"/>
    <s v="Nitin Menon"/>
    <s v="Yeshwant Barde"/>
    <s v="Marais Erasmus"/>
  </r>
  <r>
    <n v="7929"/>
    <x v="10"/>
    <s v="Hyderabad"/>
    <d v="2018-05-05T00:00:00"/>
    <s v="Delhi Daredevils"/>
    <s v="Sunrisers Hyderabad"/>
    <x v="7"/>
    <x v="1"/>
    <s v="normal"/>
    <n v="0"/>
    <x v="0"/>
    <n v="0"/>
    <n v="7"/>
    <s v="Rashid Khan"/>
    <s v="Rajiv Gandhi International Stadium, Uppal"/>
    <s v="Bruce Oxenford"/>
    <s v="O Nandan"/>
    <s v="Virender Kumar Sharma"/>
  </r>
  <r>
    <n v="7930"/>
    <x v="10"/>
    <s v="Mumbai"/>
    <d v="2018-06-05T00:00:00"/>
    <s v="Mumbai Indians"/>
    <s v="Kolkata Knight Riders"/>
    <x v="2"/>
    <x v="0"/>
    <s v="normal"/>
    <n v="0"/>
    <x v="5"/>
    <n v="13"/>
    <n v="0"/>
    <s v="HH Pandya"/>
    <s v="Wankhede Stadium"/>
    <s v="Kumar Dharmasena"/>
    <s v="A.D Deshmukh"/>
    <s v="Anil Chaudhary"/>
  </r>
  <r>
    <n v="7931"/>
    <x v="10"/>
    <s v="Indore"/>
    <d v="2018-06-05T00:00:00"/>
    <s v="Rajasthan Royals"/>
    <s v="Kings XI Punjab"/>
    <x v="3"/>
    <x v="0"/>
    <s v="normal"/>
    <n v="0"/>
    <x v="3"/>
    <n v="0"/>
    <n v="6"/>
    <s v="M Ur Rahman"/>
    <s v="Holkar Cricket Stadium"/>
    <s v="C Shamshuddin"/>
    <s v="S Ravi"/>
    <s v="Anil Dandekar"/>
  </r>
  <r>
    <n v="7932"/>
    <x v="10"/>
    <s v="Hyderabad"/>
    <d v="2018-07-05T00:00:00"/>
    <s v="Sunrisers Hyderabad"/>
    <s v="Royal Challengers Bangalore"/>
    <x v="0"/>
    <x v="0"/>
    <s v="normal"/>
    <n v="0"/>
    <x v="0"/>
    <n v="5"/>
    <n v="0"/>
    <s v="KS Williamson"/>
    <s v="Rajiv Gandhi International Stadium, Uppal"/>
    <s v="Bruce Oxenford"/>
    <s v="Virender Kumar Sharma"/>
    <s v="O Nandan"/>
  </r>
  <r>
    <n v="7933"/>
    <x v="10"/>
    <s v="Jaipur"/>
    <d v="2018-08-05T00:00:00"/>
    <s v="Rajasthan Royals"/>
    <s v="Kings XI Punjab"/>
    <x v="9"/>
    <x v="1"/>
    <s v="normal"/>
    <n v="0"/>
    <x v="9"/>
    <n v="15"/>
    <n v="0"/>
    <s v="JC Buttler"/>
    <s v="Sawai Mansingh Stadium"/>
    <s v="Marais Erasmus"/>
    <s v="Nitin Menon"/>
    <s v="Yeshwant Barde"/>
  </r>
  <r>
    <n v="7934"/>
    <x v="10"/>
    <s v="Kolkata"/>
    <d v="2018-09-05T00:00:00"/>
    <s v="Mumbai Indians"/>
    <s v="Kolkata Knight Riders"/>
    <x v="2"/>
    <x v="0"/>
    <s v="normal"/>
    <n v="0"/>
    <x v="5"/>
    <n v="102"/>
    <n v="0"/>
    <s v="Ishan Kishan"/>
    <s v="Eden Gardens"/>
    <s v="Anil Chaudhary"/>
    <s v="K Ananthapadmanabhan"/>
    <s v="Kumar Dharmasena"/>
  </r>
  <r>
    <n v="7935"/>
    <x v="10"/>
    <s v="Delhi"/>
    <d v="2018-10-05T00:00:00"/>
    <s v="Delhi Daredevils"/>
    <s v="Sunrisers Hyderabad"/>
    <x v="7"/>
    <x v="1"/>
    <s v="normal"/>
    <n v="0"/>
    <x v="0"/>
    <n v="0"/>
    <n v="9"/>
    <s v="S Dhawan"/>
    <s v="Feroz Shah Kotla"/>
    <s v="C Shamshuddin"/>
    <s v="Anil Dandekar"/>
    <s v="S Ravi"/>
  </r>
  <r>
    <n v="7936"/>
    <x v="10"/>
    <s v="Jaipur"/>
    <d v="2018-11-05T00:00:00"/>
    <s v="Chennai Super Kings"/>
    <s v="Rajasthan Royals"/>
    <x v="8"/>
    <x v="1"/>
    <s v="normal"/>
    <n v="0"/>
    <x v="9"/>
    <n v="0"/>
    <n v="4"/>
    <s v="JC Buttler"/>
    <s v="Sawai Mansingh Stadium"/>
    <s v="Marais Erasmus"/>
    <s v="Yeshwant Barde"/>
    <s v="Nitin Menon"/>
  </r>
  <r>
    <n v="7937"/>
    <x v="10"/>
    <s v="Indore"/>
    <d v="2018-12-05T00:00:00"/>
    <s v="Kolkata Knight Riders"/>
    <s v="Kings XI Punjab"/>
    <x v="3"/>
    <x v="0"/>
    <s v="normal"/>
    <n v="0"/>
    <x v="2"/>
    <n v="31"/>
    <n v="0"/>
    <s v="SP Narine"/>
    <s v="Holkar Cricket Stadium"/>
    <s v="O Nandan"/>
    <s v="Virender Kumar Sharma"/>
    <s v="Bruce Oxenford"/>
  </r>
  <r>
    <n v="7938"/>
    <x v="10"/>
    <s v="Delhi"/>
    <d v="2018-12-05T00:00:00"/>
    <s v="Delhi Daredevils"/>
    <s v="Royal Challengers Bangalore"/>
    <x v="0"/>
    <x v="0"/>
    <s v="normal"/>
    <n v="0"/>
    <x v="4"/>
    <n v="0"/>
    <n v="5"/>
    <s v="AB de Villiers"/>
    <s v="Feroz Shah Kotla"/>
    <s v="Kumar Dharmasena"/>
    <s v="Anil Chaudhary"/>
    <s v="K Ananthapadmanabhan"/>
  </r>
  <r>
    <n v="7939"/>
    <x v="10"/>
    <s v="Pune"/>
    <s v="13-05-2018"/>
    <s v="Sunrisers Hyderabad"/>
    <s v="Chennai Super Kings"/>
    <x v="8"/>
    <x v="0"/>
    <s v="normal"/>
    <n v="0"/>
    <x v="8"/>
    <n v="0"/>
    <n v="8"/>
    <s v="AT Rayudu"/>
    <s v="Maharashtra Cricket Association Stadium"/>
    <s v="Marais Erasmus"/>
    <s v="Yeshwant Barde"/>
    <s v="Anil Dandekar"/>
  </r>
  <r>
    <n v="7940"/>
    <x v="10"/>
    <s v="Mumbai"/>
    <s v="13-05-2018"/>
    <s v="Mumbai Indians"/>
    <s v="Rajasthan Royals"/>
    <x v="9"/>
    <x v="0"/>
    <s v="normal"/>
    <n v="0"/>
    <x v="9"/>
    <n v="0"/>
    <n v="7"/>
    <s v="JC Buttler"/>
    <s v="Wankhede Stadium"/>
    <s v="Nitin Menon"/>
    <s v="S Ravi"/>
    <s v="C Shamshuddin"/>
  </r>
  <r>
    <n v="7941"/>
    <x v="10"/>
    <s v="Indore"/>
    <s v="14-05-2018"/>
    <s v="Kings XI Punjab"/>
    <s v="Royal Challengers Bangalore"/>
    <x v="0"/>
    <x v="0"/>
    <s v="normal"/>
    <n v="0"/>
    <x v="4"/>
    <n v="0"/>
    <n v="10"/>
    <s v="UT Yadav"/>
    <s v="Holkar Cricket Stadium"/>
    <s v="Bruce Oxenford"/>
    <s v="Virender Kumar Sharma"/>
    <s v="O Nandan"/>
  </r>
  <r>
    <n v="7942"/>
    <x v="10"/>
    <s v="Kolkata"/>
    <s v="15-05-2018"/>
    <s v="Rajasthan Royals"/>
    <s v="Kolkata Knight Riders"/>
    <x v="2"/>
    <x v="0"/>
    <s v="normal"/>
    <n v="0"/>
    <x v="2"/>
    <n v="0"/>
    <n v="6"/>
    <s v="Kuldeep Yadav"/>
    <s v="Eden Gardens"/>
    <s v="Kumar Dharmasena"/>
    <s v="Anil Chaudhary"/>
    <s v="Vineet Kulkarni"/>
  </r>
  <r>
    <n v="7943"/>
    <x v="10"/>
    <s v="Mumbai"/>
    <s v="16-05-2018"/>
    <s v="Mumbai Indians"/>
    <s v="Kings XI Punjab"/>
    <x v="3"/>
    <x v="0"/>
    <s v="normal"/>
    <n v="0"/>
    <x v="5"/>
    <n v="3"/>
    <n v="0"/>
    <s v="JJ Bumrah"/>
    <s v="Wankhede Stadium"/>
    <s v="Marais Erasmus"/>
    <s v="Nitin Menon"/>
    <s v="Yeshwant Barde"/>
  </r>
  <r>
    <n v="7944"/>
    <x v="10"/>
    <s v="Bengaluru"/>
    <s v="17-05-2018"/>
    <s v="Royal Challengers Bangalore"/>
    <s v="Sunrisers Hyderabad"/>
    <x v="4"/>
    <x v="0"/>
    <s v="normal"/>
    <n v="0"/>
    <x v="4"/>
    <n v="14"/>
    <n v="0"/>
    <s v="AB de Villiers"/>
    <s v="M Chinnaswamy Stadium"/>
    <s v="S Ravi"/>
    <s v="Anil Dandekar"/>
    <s v="C Shamshuddin"/>
  </r>
  <r>
    <n v="7945"/>
    <x v="10"/>
    <s v="Delhi"/>
    <s v="18-05-2018"/>
    <s v="Delhi Daredevils"/>
    <s v="Chennai Super Kings"/>
    <x v="8"/>
    <x v="0"/>
    <s v="normal"/>
    <n v="0"/>
    <x v="6"/>
    <n v="34"/>
    <n v="0"/>
    <s v="HV Patel"/>
    <s v="Feroz Shah Kotla"/>
    <s v="Kumar Dharmasena"/>
    <s v="Vineet Kulkarni"/>
    <s v="O Nandan"/>
  </r>
  <r>
    <n v="7946"/>
    <x v="10"/>
    <s v="Jaipur"/>
    <s v="19-05-2018"/>
    <s v="Rajasthan Royals"/>
    <s v="Royal Challengers Bangalore"/>
    <x v="9"/>
    <x v="1"/>
    <s v="normal"/>
    <n v="0"/>
    <x v="9"/>
    <n v="30"/>
    <n v="0"/>
    <s v="S Gopal"/>
    <s v="Sawai Mansingh Stadium"/>
    <s v="Bruce Oxenford"/>
    <s v="Virender Kumar Sharma"/>
    <s v="C Shamshuddin"/>
  </r>
  <r>
    <n v="7947"/>
    <x v="10"/>
    <s v="Hyderabad"/>
    <s v="19-05-2018"/>
    <s v="Sunrisers Hyderabad"/>
    <s v="Kolkata Knight Riders"/>
    <x v="4"/>
    <x v="1"/>
    <s v="normal"/>
    <n v="0"/>
    <x v="2"/>
    <n v="0"/>
    <n v="5"/>
    <s v="CA Lynn"/>
    <s v="Rajiv Gandhi International Stadium, Uppal"/>
    <s v="Anil Chaudhary"/>
    <s v="S Ravi"/>
    <s v="Anil Dandekar"/>
  </r>
  <r>
    <n v="7948"/>
    <x v="10"/>
    <s v="Delhi"/>
    <s v="20-05-2018"/>
    <s v="Delhi Daredevils"/>
    <s v="Mumbai Indians"/>
    <x v="7"/>
    <x v="1"/>
    <s v="normal"/>
    <n v="0"/>
    <x v="6"/>
    <n v="11"/>
    <n v="0"/>
    <s v="A Mishra"/>
    <s v="Feroz Shah Kotla"/>
    <s v="Kumar Dharmasena"/>
    <s v="O Nandan"/>
    <s v="Vineet Kulkarni"/>
  </r>
  <r>
    <n v="7949"/>
    <x v="10"/>
    <s v="Pune"/>
    <s v="20-05-2018"/>
    <s v="Kings XI Punjab"/>
    <s v="Chennai Super Kings"/>
    <x v="8"/>
    <x v="0"/>
    <s v="normal"/>
    <n v="0"/>
    <x v="8"/>
    <n v="0"/>
    <n v="5"/>
    <s v="L Ngidi"/>
    <s v="Maharashtra Cricket Association Stadium"/>
    <s v="Nitin Menon"/>
    <s v="Yeshwant Barde"/>
    <s v="Marais Erasmus"/>
  </r>
  <r>
    <n v="7950"/>
    <x v="10"/>
    <s v="Mumbai"/>
    <s v="22-05-2018"/>
    <s v="Sunrisers Hyderabad"/>
    <s v="Chennai Super Kings"/>
    <x v="8"/>
    <x v="0"/>
    <s v="normal"/>
    <n v="0"/>
    <x v="8"/>
    <n v="0"/>
    <n v="2"/>
    <s v="F du Plessis"/>
    <s v="Wankhede Stadium"/>
    <s v="Marais Erasmus"/>
    <s v="C Shamshuddin"/>
    <s v="S Ravi"/>
  </r>
  <r>
    <n v="7951"/>
    <x v="10"/>
    <s v="Kolkata"/>
    <s v="23-05-2018"/>
    <s v="Kolkata Knight Riders"/>
    <s v="Rajasthan Royals"/>
    <x v="9"/>
    <x v="0"/>
    <s v="normal"/>
    <n v="0"/>
    <x v="2"/>
    <n v="25"/>
    <n v="0"/>
    <s v="AD Russell"/>
    <s v="Eden Gardens"/>
    <s v="Nitin Menon"/>
    <s v="Anil Chaudhary"/>
    <s v="Kumar Dharmasena"/>
  </r>
  <r>
    <n v="7952"/>
    <x v="10"/>
    <s v="Kolkata"/>
    <s v="25-05-2018"/>
    <s v="Sunrisers Hyderabad"/>
    <s v="Kolkata Knight Riders"/>
    <x v="2"/>
    <x v="0"/>
    <s v="normal"/>
    <n v="0"/>
    <x v="0"/>
    <n v="14"/>
    <n v="0"/>
    <s v="Rashid Khan"/>
    <s v="Eden Gardens"/>
    <s v="Nitin Menon"/>
    <s v="Kumar Dharmasena"/>
    <s v="Anil Chaudhary"/>
  </r>
  <r>
    <n v="7953"/>
    <x v="10"/>
    <s v="Mumbai"/>
    <s v="27-05-2018"/>
    <s v="Sunrisers Hyderabad"/>
    <s v="Chennai Super Kings"/>
    <x v="8"/>
    <x v="0"/>
    <s v="normal"/>
    <n v="0"/>
    <x v="8"/>
    <n v="0"/>
    <n v="8"/>
    <s v="SR Watson"/>
    <s v="Wankhede Stadium"/>
    <s v="Marais Erasmus"/>
    <s v="S Ravi"/>
    <s v="Nitin Menon"/>
  </r>
  <r>
    <n v="11137"/>
    <x v="11"/>
    <s v="Chennai"/>
    <s v="23-03-2019"/>
    <s v="Royal Challengers Bangalore"/>
    <s v="Chennai Super Kings"/>
    <x v="8"/>
    <x v="0"/>
    <s v="normal"/>
    <n v="0"/>
    <x v="8"/>
    <n v="0"/>
    <n v="7"/>
    <s v="Harbhajan Singh"/>
    <s v="M. A. Chidambaram Stadium"/>
    <s v="Bruce Oxenford"/>
    <s v="Anil Dandekar"/>
    <s v="Nitin Menon"/>
  </r>
  <r>
    <n v="11138"/>
    <x v="11"/>
    <s v="Kolkata"/>
    <s v="24-03-2019"/>
    <s v="Sunrisers Hyderabad"/>
    <s v="Kolkata Knight Riders"/>
    <x v="2"/>
    <x v="0"/>
    <s v="normal"/>
    <n v="0"/>
    <x v="2"/>
    <n v="0"/>
    <n v="6"/>
    <s v="AD Russell"/>
    <s v="Eden Gardens"/>
    <s v="Chris Gaffaney"/>
    <s v="Anil Chaudhary"/>
    <s v="Vineet Kulkarni"/>
  </r>
  <r>
    <n v="11139"/>
    <x v="11"/>
    <s v="Mumbai"/>
    <s v="24-03-2019"/>
    <s v="Delhi Capitals"/>
    <s v="Mumbai Indians"/>
    <x v="5"/>
    <x v="0"/>
    <s v="normal"/>
    <n v="0"/>
    <x v="15"/>
    <n v="37"/>
    <n v="0"/>
    <s v="RR Pant"/>
    <s v="Wankhede Stadium"/>
    <s v="S Ravi"/>
    <s v="Yeshwant Barde"/>
    <s v="O Nandan"/>
  </r>
  <r>
    <n v="11140"/>
    <x v="11"/>
    <s v="Jaipur"/>
    <s v="25-03-2019"/>
    <s v="Kings XI Punjab"/>
    <s v="Rajasthan Royals"/>
    <x v="9"/>
    <x v="0"/>
    <s v="normal"/>
    <n v="0"/>
    <x v="3"/>
    <n v="14"/>
    <n v="0"/>
    <s v="CH Gayle"/>
    <s v="Sawai Mansingh Stadium"/>
    <s v="C Shamshuddin"/>
    <s v="KN Anantapadmanabhan"/>
    <s v="Bruce Oxenford"/>
  </r>
  <r>
    <n v="11141"/>
    <x v="11"/>
    <s v="Delhi"/>
    <s v="26-03-2019"/>
    <s v="Delhi Capitals"/>
    <s v="Chennai Super Kings"/>
    <x v="14"/>
    <x v="1"/>
    <s v="normal"/>
    <n v="0"/>
    <x v="8"/>
    <n v="0"/>
    <n v="6"/>
    <s v="SR Watson"/>
    <s v="Feroz Shah Kotla Ground"/>
    <s v="Marais Erasmus"/>
    <s v="Nitin Menon"/>
    <s v="Anil Dandekar"/>
  </r>
  <r>
    <n v="11142"/>
    <x v="11"/>
    <s v="Kolkata"/>
    <s v="27-03-2019"/>
    <s v="Kolkata Knight Riders"/>
    <s v="Kings XI Punjab"/>
    <x v="3"/>
    <x v="0"/>
    <s v="normal"/>
    <n v="0"/>
    <x v="2"/>
    <n v="28"/>
    <n v="0"/>
    <s v="AD Russell"/>
    <s v="Eden Gardens"/>
    <s v="Anil Chaudhary"/>
    <s v="Vineet Kulkarni"/>
    <s v="Chris Gaffaney"/>
  </r>
  <r>
    <n v="11143"/>
    <x v="11"/>
    <s v="Bengaluru"/>
    <s v="28-03-2019"/>
    <s v="Mumbai Indians"/>
    <s v="Royal Challengers Bangalore"/>
    <x v="0"/>
    <x v="0"/>
    <s v="normal"/>
    <n v="0"/>
    <x v="5"/>
    <n v="6"/>
    <n v="0"/>
    <s v="JJ Bumrah"/>
    <s v="M. Chinnaswamy Stadium"/>
    <s v="S Ravi"/>
    <s v="O Nandan"/>
    <s v="Yeshwant Barde"/>
  </r>
  <r>
    <n v="11144"/>
    <x v="11"/>
    <s v="Hyderabad"/>
    <s v="29-03-2019"/>
    <s v="Rajasthan Royals"/>
    <s v="Sunrisers Hyderabad"/>
    <x v="9"/>
    <x v="1"/>
    <s v="normal"/>
    <n v="0"/>
    <x v="0"/>
    <n v="0"/>
    <n v="5"/>
    <s v="Rashid Khan"/>
    <s v="Rajiv Gandhi Intl. Cricket Stadium"/>
    <s v="Bruce Oxenford"/>
    <s v="C Shamshuddin"/>
    <s v="KN Anantapadmanabhan"/>
  </r>
  <r>
    <n v="11145"/>
    <x v="11"/>
    <s v="Mohali"/>
    <s v="30-03-2019"/>
    <s v="Mumbai Indians"/>
    <s v="Kings XI Punjab"/>
    <x v="3"/>
    <x v="0"/>
    <s v="normal"/>
    <n v="0"/>
    <x v="3"/>
    <n v="0"/>
    <n v="8"/>
    <s v="MA Agarwal"/>
    <s v="IS Bindra Stadium"/>
    <s v="Vineet Kulkarni"/>
    <s v="Chris Gaffaney"/>
    <s v="Anil Chaudhary"/>
  </r>
  <r>
    <n v="11146"/>
    <x v="11"/>
    <s v="Delhi"/>
    <s v="30-03-2019"/>
    <s v="Kolkata Knight Riders"/>
    <s v="Delhi Capitals"/>
    <x v="14"/>
    <x v="0"/>
    <s v="tie"/>
    <n v="0"/>
    <x v="15"/>
    <n v="0"/>
    <n v="0"/>
    <s v="P Shaw"/>
    <s v="Feroz Shah Kotla Ground"/>
    <s v="Anil Dandekar"/>
    <s v="Nitin Menon"/>
    <s v="Marais Erasmus"/>
  </r>
  <r>
    <n v="11147"/>
    <x v="11"/>
    <s v="Hyderabad"/>
    <s v="31-03-2019"/>
    <s v="Sunrisers Hyderabad"/>
    <s v="Royal Challengers Bangalore"/>
    <x v="0"/>
    <x v="0"/>
    <s v="normal"/>
    <n v="0"/>
    <x v="0"/>
    <n v="118"/>
    <n v="0"/>
    <s v="J Bairstow"/>
    <s v="Rajiv Gandhi Intl. Cricket Stadium"/>
    <s v="S Ravi"/>
    <s v="KN Anantapadmanabhan"/>
    <s v="C Shamshuddin"/>
  </r>
  <r>
    <n v="11148"/>
    <x v="11"/>
    <s v="Chennai"/>
    <s v="31-03-2019"/>
    <s v="Chennai Super Kings"/>
    <s v="Rajasthan Royals"/>
    <x v="9"/>
    <x v="0"/>
    <s v="normal"/>
    <n v="0"/>
    <x v="8"/>
    <n v="8"/>
    <n v="0"/>
    <s v="MS Dhoni"/>
    <s v="M. A. Chidambaram Stadium"/>
    <s v="O Nandan"/>
    <s v="Yeshwant Barde"/>
    <s v="Bruce Oxenford"/>
  </r>
  <r>
    <n v="11149"/>
    <x v="11"/>
    <s v="Mohali"/>
    <d v="2019-01-04T00:00:00"/>
    <s v="Kings XI Punjab"/>
    <s v="Delhi Capitals"/>
    <x v="14"/>
    <x v="0"/>
    <s v="normal"/>
    <n v="0"/>
    <x v="3"/>
    <n v="14"/>
    <n v="0"/>
    <s v="S Curran"/>
    <s v="IS Bindra Stadium"/>
    <s v="Anil Chaudhary"/>
    <s v="Chris Gaffaney"/>
    <s v="Vineet Kulkarni"/>
  </r>
  <r>
    <n v="11150"/>
    <x v="11"/>
    <s v="Jaipur"/>
    <d v="2019-02-04T00:00:00"/>
    <s v="Royal Challengers Bangalore"/>
    <s v="Rajasthan Royals"/>
    <x v="9"/>
    <x v="0"/>
    <s v="normal"/>
    <n v="0"/>
    <x v="9"/>
    <n v="0"/>
    <n v="7"/>
    <s v="S Gopal"/>
    <s v="Sawai Mansingh Stadium"/>
    <s v="Marais Erasmus"/>
    <s v="Anil Dandekar"/>
    <s v="Nitin Menon"/>
  </r>
  <r>
    <n v="11151"/>
    <x v="11"/>
    <s v="Mumbai"/>
    <d v="2019-03-04T00:00:00"/>
    <s v="Mumbai Indians"/>
    <s v="Chennai Super Kings"/>
    <x v="8"/>
    <x v="0"/>
    <s v="normal"/>
    <n v="0"/>
    <x v="5"/>
    <n v="37"/>
    <n v="0"/>
    <s v="HH Pandya"/>
    <s v="Wankhede Stadium"/>
    <s v="Bruce Oxenford"/>
    <s v="Rod Tucker"/>
    <s v="Yeshwant Barde"/>
  </r>
  <r>
    <n v="11152"/>
    <x v="11"/>
    <s v="Delhi"/>
    <d v="2019-04-04T00:00:00"/>
    <s v="Delhi Capitals"/>
    <s v="Sunrisers Hyderabad"/>
    <x v="4"/>
    <x v="0"/>
    <s v="normal"/>
    <n v="0"/>
    <x v="0"/>
    <n v="0"/>
    <n v="5"/>
    <s v="J Bairstow"/>
    <s v="Feroz Shah Kotla Ground"/>
    <s v="C Shamshuddin"/>
    <s v="KN Anantapadmanabhan"/>
    <s v="S Ravi"/>
  </r>
  <r>
    <n v="11153"/>
    <x v="11"/>
    <s v="Bengaluru"/>
    <d v="2019-05-04T00:00:00"/>
    <s v="Royal Challengers Bangalore"/>
    <s v="Kolkata Knight Riders"/>
    <x v="2"/>
    <x v="0"/>
    <s v="normal"/>
    <n v="0"/>
    <x v="2"/>
    <n v="0"/>
    <n v="5"/>
    <s v="AD Russell"/>
    <s v="M. Chinnaswamy Stadium"/>
    <s v="Anil Chaudhary"/>
    <s v="Chris Gaffaney"/>
    <s v="O Nandan"/>
  </r>
  <r>
    <n v="11309"/>
    <x v="11"/>
    <s v="Chennai"/>
    <d v="2019-06-04T00:00:00"/>
    <s v="Chennai Super Kings"/>
    <s v="Kings XI Punjab"/>
    <x v="8"/>
    <x v="1"/>
    <s v="normal"/>
    <n v="0"/>
    <x v="8"/>
    <n v="22"/>
    <n v="0"/>
    <s v="Harbhajan Singh"/>
    <s v="M. A. Chidambaram Stadium"/>
    <s v="KN Ananthapadmanabhan"/>
    <s v="Rod Tucker"/>
    <s v="C Shamshuddin"/>
  </r>
  <r>
    <n v="11310"/>
    <x v="11"/>
    <s v="Hyderabad"/>
    <d v="2019-06-04T00:00:00"/>
    <s v="Mumbai Indians"/>
    <s v="Sunrisers Hyderabad"/>
    <x v="4"/>
    <x v="0"/>
    <s v="normal"/>
    <n v="0"/>
    <x v="5"/>
    <n v="40"/>
    <n v="0"/>
    <s v="A Joseph"/>
    <s v="Rajiv Gandhi Intl. Cricket Stadium"/>
    <s v="Anil Dandekar"/>
    <s v="Nitin Menon"/>
    <s v="Marais Erasmus"/>
  </r>
  <r>
    <n v="11311"/>
    <x v="11"/>
    <s v="Bengaluru"/>
    <d v="2019-07-04T00:00:00"/>
    <s v="Royal Challengers Bangalore"/>
    <s v="Delhi Capitals"/>
    <x v="14"/>
    <x v="0"/>
    <s v="normal"/>
    <n v="0"/>
    <x v="15"/>
    <n v="0"/>
    <n v="4"/>
    <s v="K Rabada"/>
    <s v="M. Chinnaswamy Stadium"/>
    <s v="S Ravi"/>
    <s v="Yeshwant Barde"/>
    <s v="O Nandan"/>
  </r>
  <r>
    <n v="11312"/>
    <x v="11"/>
    <s v="Jaipur"/>
    <d v="2019-07-04T00:00:00"/>
    <s v="Rajasthan Royals"/>
    <s v="Kolkata Knight Riders"/>
    <x v="2"/>
    <x v="0"/>
    <s v="normal"/>
    <n v="0"/>
    <x v="2"/>
    <n v="0"/>
    <n v="8"/>
    <s v="H Gurney"/>
    <s v="Sawai Mansingh Stadium"/>
    <s v="Chris Gaffaney"/>
    <s v="Anil Chaudhary"/>
    <s v="Bruce Oxenford"/>
  </r>
  <r>
    <n v="11313"/>
    <x v="11"/>
    <s v="Mohali"/>
    <d v="2019-08-04T00:00:00"/>
    <s v="Sunrisers Hyderabad"/>
    <s v="Kings XI Punjab"/>
    <x v="3"/>
    <x v="0"/>
    <s v="normal"/>
    <n v="0"/>
    <x v="3"/>
    <n v="0"/>
    <n v="6"/>
    <s v="KL Rahul"/>
    <s v="IS Bindra Stadium"/>
    <s v="Marais Erasmus"/>
    <s v="Anil Dandekar"/>
    <s v="Nitin Menon"/>
  </r>
  <r>
    <n v="11314"/>
    <x v="11"/>
    <s v="Chennai"/>
    <d v="2019-09-04T00:00:00"/>
    <s v="Kolkata Knight Riders"/>
    <s v="Chennai Super Kings"/>
    <x v="8"/>
    <x v="0"/>
    <s v="normal"/>
    <n v="0"/>
    <x v="8"/>
    <n v="0"/>
    <n v="7"/>
    <s v="DL Chahar"/>
    <s v="M. A. Chidambaram Stadium"/>
    <s v="Rod Tucker"/>
    <s v="C Shamshuddin"/>
    <s v="Ulhas Gandhe"/>
  </r>
  <r>
    <n v="11315"/>
    <x v="11"/>
    <s v="Mumbai"/>
    <d v="2019-10-04T00:00:00"/>
    <s v="Kings XI Punjab"/>
    <s v="Mumbai Indians"/>
    <x v="5"/>
    <x v="0"/>
    <s v="normal"/>
    <n v="0"/>
    <x v="5"/>
    <n v="0"/>
    <n v="3"/>
    <s v="KA Pollard"/>
    <s v="Wankhede Stadium"/>
    <s v="Yeshwant Barde"/>
    <s v="S Ravi"/>
    <s v="O Nandan"/>
  </r>
  <r>
    <n v="11316"/>
    <x v="11"/>
    <s v="Jaipur"/>
    <d v="2019-11-04T00:00:00"/>
    <s v="Rajasthan Royals"/>
    <s v="Chennai Super Kings"/>
    <x v="8"/>
    <x v="0"/>
    <s v="normal"/>
    <n v="0"/>
    <x v="8"/>
    <n v="0"/>
    <n v="4"/>
    <s v="MS Dhoni"/>
    <s v="Sawai Mansingh Stadium"/>
    <s v="Bruce Oxenford"/>
    <s v="Ulhas Gandhe"/>
    <s v="Chris Gaffaney"/>
  </r>
  <r>
    <n v="11317"/>
    <x v="11"/>
    <s v="Kolkata"/>
    <d v="2019-12-04T00:00:00"/>
    <s v="Kolkata Knight Riders"/>
    <s v="Delhi Capitals"/>
    <x v="14"/>
    <x v="0"/>
    <s v="normal"/>
    <n v="0"/>
    <x v="15"/>
    <n v="0"/>
    <n v="7"/>
    <s v="S Dhawan"/>
    <s v="Eden Gardens"/>
    <s v="Yeshwant Barde"/>
    <s v="O Nandan"/>
    <s v="Rod Tucker"/>
  </r>
  <r>
    <n v="11318"/>
    <x v="11"/>
    <s v="Mumbai"/>
    <s v="13-04-2019"/>
    <s v="Mumbai Indians"/>
    <s v="Rajasthan Royals"/>
    <x v="9"/>
    <x v="0"/>
    <s v="normal"/>
    <n v="0"/>
    <x v="9"/>
    <n v="0"/>
    <n v="4"/>
    <s v="JC Buttler"/>
    <s v="Wankhede Stadium"/>
    <s v="Nitin Menon"/>
    <s v="Nanda Kishore"/>
    <s v="Marais Erasmus"/>
  </r>
  <r>
    <n v="11319"/>
    <x v="11"/>
    <s v="Mohali"/>
    <s v="13-04-2019"/>
    <s v="Kings XI Punjab"/>
    <s v="Royal Challengers Bangalore"/>
    <x v="0"/>
    <x v="0"/>
    <s v="normal"/>
    <n v="0"/>
    <x v="4"/>
    <n v="0"/>
    <n v="8"/>
    <s v="AB de Villiers"/>
    <s v="IS Bindra Stadium"/>
    <s v="S Ravi"/>
    <s v="Ulhas Gandhe"/>
    <s v="Nigel Llong"/>
  </r>
  <r>
    <n v="11320"/>
    <x v="11"/>
    <s v="Kolkata"/>
    <s v="14-04-2019"/>
    <s v="Kolkata Knight Riders"/>
    <s v="Chennai Super Kings"/>
    <x v="8"/>
    <x v="0"/>
    <s v="normal"/>
    <n v="0"/>
    <x v="8"/>
    <n v="0"/>
    <n v="5"/>
    <s v="Imran Tahir"/>
    <s v="Eden Gardens"/>
    <s v="Rod Tucker"/>
    <s v="O Nandan"/>
    <s v="Yeshwant Barde"/>
  </r>
  <r>
    <n v="11321"/>
    <x v="11"/>
    <s v="Hyderabad"/>
    <s v="14-04-2019"/>
    <s v="Delhi Capitals"/>
    <s v="Sunrisers Hyderabad"/>
    <x v="4"/>
    <x v="0"/>
    <s v="normal"/>
    <n v="0"/>
    <x v="15"/>
    <n v="39"/>
    <n v="0"/>
    <s v="K Paul"/>
    <s v="Rajiv Gandhi Intl. Cricket Stadium"/>
    <s v="Anil Chaudhary"/>
    <s v="Bruce Oxenford"/>
    <s v="Chris Gaffaney"/>
  </r>
  <r>
    <n v="11322"/>
    <x v="11"/>
    <s v="Mumbai"/>
    <s v="15-04-2019"/>
    <s v="Royal Challengers Bangalore"/>
    <s v="Mumbai Indians"/>
    <x v="5"/>
    <x v="0"/>
    <s v="normal"/>
    <n v="0"/>
    <x v="5"/>
    <n v="0"/>
    <n v="5"/>
    <s v="SL Malinga"/>
    <s v="Wankhede Stadium"/>
    <s v="Marais Erasmus"/>
    <s v="Nitin Menon"/>
    <s v="Nanda Kishore"/>
  </r>
  <r>
    <n v="11323"/>
    <x v="11"/>
    <s v="Mohali"/>
    <s v="16-04-2019"/>
    <s v="Kings XI Punjab"/>
    <s v="Rajasthan Royals"/>
    <x v="9"/>
    <x v="0"/>
    <s v="normal"/>
    <n v="0"/>
    <x v="3"/>
    <n v="12"/>
    <n v="0"/>
    <s v="R Ashwin"/>
    <s v="IS Bindra Stadium"/>
    <s v="Anil Chaudhary"/>
    <s v="Vineet Kulkarni"/>
    <s v="S Ravi"/>
  </r>
  <r>
    <n v="11324"/>
    <x v="11"/>
    <s v="Hyderabad"/>
    <s v="17-04-2019"/>
    <s v="Chennai Super Kings"/>
    <s v="Sunrisers Hyderabad"/>
    <x v="8"/>
    <x v="1"/>
    <s v="normal"/>
    <n v="0"/>
    <x v="0"/>
    <n v="0"/>
    <n v="6"/>
    <s v="DA Warner"/>
    <s v="Rajiv Gandhi Intl. Cricket Stadium"/>
    <s v="Ian Gould"/>
    <s v="Ulhas Gandhe"/>
    <s v="C Shamshuddin"/>
  </r>
  <r>
    <n v="11325"/>
    <x v="11"/>
    <s v="Delhi"/>
    <s v="18-04-2019"/>
    <s v="Mumbai Indians"/>
    <s v="Delhi Capitals"/>
    <x v="5"/>
    <x v="1"/>
    <s v="normal"/>
    <n v="0"/>
    <x v="5"/>
    <n v="40"/>
    <n v="0"/>
    <s v="HH Pandya"/>
    <s v="Feroz Shah Kotla Ground"/>
    <s v="Nigel Llong"/>
    <s v="Bruce Oxenford"/>
    <s v="Anil Chaudhary"/>
  </r>
  <r>
    <n v="11326"/>
    <x v="11"/>
    <s v="Kolkata"/>
    <s v="19-04-2019"/>
    <s v="Royal Challengers Bangalore"/>
    <s v="Kolkata Knight Riders"/>
    <x v="2"/>
    <x v="0"/>
    <s v="normal"/>
    <n v="0"/>
    <x v="4"/>
    <n v="10"/>
    <n v="0"/>
    <s v="V Kohli"/>
    <s v="Eden Gardens"/>
    <s v="Ian Gould"/>
    <s v="Nitin Menon"/>
    <s v="Anil Dandekar"/>
  </r>
  <r>
    <n v="11327"/>
    <x v="11"/>
    <s v="Jaipur"/>
    <s v="20-04-2019"/>
    <s v="Mumbai Indians"/>
    <s v="Rajasthan Royals"/>
    <x v="9"/>
    <x v="0"/>
    <s v="normal"/>
    <n v="0"/>
    <x v="9"/>
    <n v="0"/>
    <n v="5"/>
    <s v="SPD Smith"/>
    <s v="Sawai Mansingh Stadium"/>
    <s v="S Ravi"/>
    <s v="Yeshwant Barde"/>
    <s v="O Nandan"/>
  </r>
  <r>
    <n v="11328"/>
    <x v="11"/>
    <s v="Delhi"/>
    <s v="20-04-2019"/>
    <s v="Kings XI Punjab"/>
    <s v="Delhi Capitals"/>
    <x v="14"/>
    <x v="0"/>
    <s v="normal"/>
    <n v="0"/>
    <x v="15"/>
    <n v="0"/>
    <n v="5"/>
    <s v="SS Iyer"/>
    <s v="Feroz Shah Kotla Ground"/>
    <s v="Ulhas Gandhe"/>
    <s v="C Shamshuddin"/>
    <s v="Bruce Oxenford"/>
  </r>
  <r>
    <n v="11329"/>
    <x v="11"/>
    <s v="Hyderabad"/>
    <s v="21-04-2019"/>
    <s v="Kolkata Knight Riders"/>
    <s v="Sunrisers Hyderabad"/>
    <x v="4"/>
    <x v="0"/>
    <s v="normal"/>
    <n v="0"/>
    <x v="0"/>
    <n v="0"/>
    <n v="9"/>
    <s v="K Ahmed"/>
    <s v="Rajiv Gandhi Intl. Cricket Stadium"/>
    <s v="Nitin Menon"/>
    <s v="Nigel Llong"/>
    <s v="Ian Gould"/>
  </r>
  <r>
    <n v="11330"/>
    <x v="11"/>
    <s v="Bengaluru"/>
    <s v="21-04-2019"/>
    <s v="Royal Challengers Bangalore"/>
    <s v="Chennai Super Kings"/>
    <x v="8"/>
    <x v="0"/>
    <s v="normal"/>
    <n v="0"/>
    <x v="4"/>
    <n v="1"/>
    <n v="0"/>
    <s v="PA Patel"/>
    <s v="M. Chinnaswamy Stadium"/>
    <s v="Vineet Kulkarni"/>
    <s v="Rod Tucker"/>
    <s v="Anil Chaudhary"/>
  </r>
  <r>
    <n v="11331"/>
    <x v="11"/>
    <s v="Jaipur"/>
    <s v="22-04-2019"/>
    <s v="Rajasthan Royals"/>
    <s v="Delhi Capitals"/>
    <x v="14"/>
    <x v="0"/>
    <s v="normal"/>
    <n v="0"/>
    <x v="15"/>
    <n v="0"/>
    <n v="6"/>
    <s v="RR Pant"/>
    <s v="Sawai Mansingh Stadium"/>
    <s v="S Ravi"/>
    <s v="Nanda Kishore"/>
    <s v="Yeshwant Barde"/>
  </r>
  <r>
    <n v="11332"/>
    <x v="11"/>
    <s v="Chennai"/>
    <s v="23-04-2019"/>
    <s v="Sunrisers Hyderabad"/>
    <s v="Chennai Super Kings"/>
    <x v="8"/>
    <x v="0"/>
    <s v="normal"/>
    <n v="0"/>
    <x v="8"/>
    <n v="0"/>
    <n v="6"/>
    <s v="SR Watson"/>
    <s v="M. A. Chidambaram Stadium"/>
    <s v="Nigel Llong"/>
    <s v="Anil Chaudhary"/>
    <s v="Vineet Kulkarni"/>
  </r>
  <r>
    <n v="11333"/>
    <x v="11"/>
    <s v="Bengaluru"/>
    <s v="24-04-2019"/>
    <s v="Royal Challengers Bangalore"/>
    <s v="Kings XI Punjab"/>
    <x v="3"/>
    <x v="0"/>
    <s v="normal"/>
    <n v="0"/>
    <x v="4"/>
    <n v="17"/>
    <n v="0"/>
    <s v="AB de Villiers"/>
    <s v="M. Chinnaswamy Stadium"/>
    <s v="Bruce Oxenford"/>
    <s v="C Shamshuddin"/>
    <s v="Rod Tucker"/>
  </r>
  <r>
    <n v="11334"/>
    <x v="11"/>
    <s v="Kolkata"/>
    <s v="25-04-2019"/>
    <s v="Kolkata Knight Riders"/>
    <s v="Rajasthan Royals"/>
    <x v="9"/>
    <x v="0"/>
    <s v="normal"/>
    <n v="0"/>
    <x v="9"/>
    <n v="0"/>
    <n v="3"/>
    <s v="VR Aaron"/>
    <s v="Eden Gardens"/>
    <s v="Ian Gould"/>
    <s v="Anil Dandekar"/>
    <s v="Nitin Menon"/>
  </r>
  <r>
    <n v="11335"/>
    <x v="11"/>
    <s v="Chennai"/>
    <s v="26-04-2019"/>
    <s v="Mumbai Indians"/>
    <s v="Chennai Super Kings"/>
    <x v="8"/>
    <x v="0"/>
    <s v="normal"/>
    <n v="0"/>
    <x v="5"/>
    <n v="46"/>
    <n v="0"/>
    <s v="RG Sharma"/>
    <s v="M. A. Chidambaram Stadium"/>
    <s v="Nigel Llong"/>
    <s v="Anil Chaudhary"/>
    <s v="Vineet Kulkarni"/>
  </r>
  <r>
    <n v="11336"/>
    <x v="11"/>
    <s v="Jaipur"/>
    <s v="27-04-2019"/>
    <s v="Sunrisers Hyderabad"/>
    <s v="Rajasthan Royals"/>
    <x v="9"/>
    <x v="0"/>
    <s v="normal"/>
    <n v="0"/>
    <x v="9"/>
    <n v="0"/>
    <n v="7"/>
    <s v="JD Unadkat"/>
    <s v="Sawai Mansingh Stadium"/>
    <s v="Yeshwant Barde"/>
    <s v="Nand Kishore"/>
    <s v="Sundaram Ravi"/>
  </r>
  <r>
    <n v="11337"/>
    <x v="11"/>
    <s v="Delhi"/>
    <s v="28-04-2019"/>
    <s v="Delhi Capitals"/>
    <s v="Royal Challengers Bangalore"/>
    <x v="14"/>
    <x v="1"/>
    <s v="normal"/>
    <n v="0"/>
    <x v="15"/>
    <n v="16"/>
    <n v="0"/>
    <s v="S Dhawan"/>
    <s v="Feroz Shah Kotla Ground"/>
    <s v="Bruce Oxenford"/>
    <s v="KN Ananthapadmanabhan"/>
    <s v="C Shamshuddin"/>
  </r>
  <r>
    <n v="11338"/>
    <x v="11"/>
    <s v="Kolkata"/>
    <s v="28-04-2019"/>
    <s v="Kolkata Knight Riders"/>
    <s v="Mumbai Indians"/>
    <x v="5"/>
    <x v="0"/>
    <s v="normal"/>
    <n v="0"/>
    <x v="2"/>
    <n v="34"/>
    <n v="0"/>
    <s v="AD Russell"/>
    <s v="Eden Gardens"/>
    <s v="Ian Gould"/>
    <s v="Nitin Menon"/>
    <s v="Anil Dandekar"/>
  </r>
  <r>
    <n v="11339"/>
    <x v="11"/>
    <s v="Hyderabad"/>
    <s v="29-04-2019"/>
    <s v="Sunrisers Hyderabad"/>
    <s v="Kings XI Punjab"/>
    <x v="3"/>
    <x v="0"/>
    <s v="normal"/>
    <n v="0"/>
    <x v="0"/>
    <n v="45"/>
    <n v="0"/>
    <s v="DA Warner"/>
    <s v="Rajiv Gandhi Intl. Cricket Stadium"/>
    <s v="S Ravi"/>
    <s v="O Nandan"/>
    <s v="Nanda Kishore"/>
  </r>
  <r>
    <n v="11340"/>
    <x v="11"/>
    <s v="Bengaluru"/>
    <s v="30-04-2019"/>
    <s v="Royal Challengers Bangalore"/>
    <s v="Rajasthan Royals"/>
    <x v="9"/>
    <x v="0"/>
    <s v="no result"/>
    <n v="0"/>
    <x v="13"/>
    <n v="0"/>
    <n v="0"/>
    <m/>
    <s v="M. Chinnaswamy Stadium"/>
    <s v="Nigel Llong"/>
    <s v="Ulhas Gandhe"/>
    <s v="Anil Chaudhary"/>
  </r>
  <r>
    <n v="11341"/>
    <x v="11"/>
    <s v="Chennai"/>
    <d v="2019-01-05T00:00:00"/>
    <s v="Chennai Super Kings"/>
    <s v="Delhi Capitals"/>
    <x v="14"/>
    <x v="0"/>
    <s v="normal"/>
    <n v="0"/>
    <x v="8"/>
    <n v="80"/>
    <n v="0"/>
    <s v="MS Dhoni"/>
    <s v="M. A. Chidambaram Stadium"/>
    <s v="Anil Dandekar"/>
    <s v="Nitin Menon"/>
    <s v="Ian Gould"/>
  </r>
  <r>
    <n v="11342"/>
    <x v="11"/>
    <s v="Mumbai"/>
    <d v="2019-02-05T00:00:00"/>
    <s v="Mumbai Indians"/>
    <s v="Sunrisers Hyderabad"/>
    <x v="5"/>
    <x v="1"/>
    <s v="tie"/>
    <n v="0"/>
    <x v="5"/>
    <n v="0"/>
    <n v="0"/>
    <s v="JJ Bumrah"/>
    <s v="Wankhede Stadium"/>
    <s v="S Ravi"/>
    <s v="O Nandan"/>
    <s v="Nanda Kishore"/>
  </r>
  <r>
    <n v="11343"/>
    <x v="11"/>
    <s v="Mohali"/>
    <d v="2019-03-05T00:00:00"/>
    <s v="Kings XI Punjab"/>
    <s v="Kolkata Knight Riders"/>
    <x v="2"/>
    <x v="0"/>
    <s v="normal"/>
    <n v="0"/>
    <x v="2"/>
    <n v="0"/>
    <n v="7"/>
    <s v="S Gill"/>
    <s v="IS Bindra Stadium"/>
    <s v="Bruce Oxenford"/>
    <s v="C Shamshuddin"/>
    <s v="KN Ananthapadmanabhan"/>
  </r>
  <r>
    <n v="11344"/>
    <x v="11"/>
    <s v="Delhi"/>
    <d v="2019-04-05T00:00:00"/>
    <s v="Rajasthan Royals"/>
    <s v="Delhi Capitals"/>
    <x v="9"/>
    <x v="1"/>
    <s v="normal"/>
    <n v="0"/>
    <x v="15"/>
    <n v="0"/>
    <n v="5"/>
    <s v="A Mishra"/>
    <s v="Feroz Shah Kotla Ground"/>
    <s v="Ian Gould"/>
    <s v="Anil Dandekar"/>
    <s v="Nitin Menon"/>
  </r>
  <r>
    <n v="11345"/>
    <x v="11"/>
    <s v="Bengaluru"/>
    <d v="2019-04-05T00:00:00"/>
    <s v="Sunrisers Hyderabad"/>
    <s v="Royal Challengers Bangalore"/>
    <x v="0"/>
    <x v="0"/>
    <s v="normal"/>
    <n v="0"/>
    <x v="4"/>
    <n v="0"/>
    <n v="4"/>
    <s v="S Hetmyer"/>
    <s v="M. Chinnaswamy Stadium"/>
    <s v="Nigel Llong"/>
    <s v="Anil Chaudhary"/>
    <s v="Ulhas Gandhe"/>
  </r>
  <r>
    <n v="11346"/>
    <x v="11"/>
    <s v="Mohali"/>
    <d v="2019-05-05T00:00:00"/>
    <s v="Chennai Super Kings"/>
    <s v="Kings XI Punjab"/>
    <x v="3"/>
    <x v="0"/>
    <s v="normal"/>
    <n v="0"/>
    <x v="3"/>
    <n v="0"/>
    <n v="6"/>
    <s v="KL Rahul"/>
    <s v="IS Bindra Stadium"/>
    <s v="KN Ananthapadmanabhan"/>
    <s v="C Shamshuddin"/>
    <s v="Bruce Oxenford"/>
  </r>
  <r>
    <n v="11347"/>
    <x v="11"/>
    <s v="Mumbai"/>
    <d v="2019-05-05T00:00:00"/>
    <s v="Kolkata Knight Riders"/>
    <s v="Mumbai Indians"/>
    <x v="5"/>
    <x v="0"/>
    <s v="normal"/>
    <n v="0"/>
    <x v="5"/>
    <n v="0"/>
    <n v="9"/>
    <s v="HH Pandya"/>
    <s v="Wankhede Stadium"/>
    <s v="Nanda Kishore"/>
    <s v="O Nandan"/>
    <s v="S Ravi"/>
  </r>
  <r>
    <n v="11412"/>
    <x v="11"/>
    <s v="Chennai"/>
    <d v="2019-07-05T00:00:00"/>
    <s v="Chennai Super Kings"/>
    <s v="Mumbai Indians"/>
    <x v="8"/>
    <x v="1"/>
    <s v="normal"/>
    <n v="0"/>
    <x v="5"/>
    <n v="0"/>
    <n v="6"/>
    <s v="AS Yadav"/>
    <s v="M. A. Chidambaram Stadium"/>
    <s v="Nigel Llong"/>
    <s v="Nitin Menon"/>
    <s v="Ian Gould"/>
  </r>
  <r>
    <n v="11413"/>
    <x v="11"/>
    <s v="Visakhapatnam"/>
    <d v="2019-08-05T00:00:00"/>
    <s v="Sunrisers Hyderabad"/>
    <s v="Delhi Capitals"/>
    <x v="14"/>
    <x v="0"/>
    <s v="normal"/>
    <n v="0"/>
    <x v="15"/>
    <n v="0"/>
    <n v="2"/>
    <s v="RR Pant"/>
    <s v="ACA-VDCA Stadium"/>
    <m/>
    <m/>
    <m/>
  </r>
  <r>
    <n v="11414"/>
    <x v="11"/>
    <s v="Visakhapatnam"/>
    <d v="2019-10-05T00:00:00"/>
    <s v="Delhi Capitals"/>
    <s v="Chennai Super Kings"/>
    <x v="8"/>
    <x v="0"/>
    <s v="normal"/>
    <n v="0"/>
    <x v="8"/>
    <n v="0"/>
    <n v="6"/>
    <s v="F du Plessis"/>
    <s v="ACA-VDCA Stadium"/>
    <s v="Sundaram Ravi"/>
    <s v="Bruce Oxenford"/>
    <s v="Chettithody Shamshuddin"/>
  </r>
  <r>
    <n v="11415"/>
    <x v="11"/>
    <s v="Hyderabad"/>
    <d v="2019-12-05T00:00:00"/>
    <s v="Mumbai Indians"/>
    <s v="Chennai Super Kings"/>
    <x v="5"/>
    <x v="1"/>
    <s v="normal"/>
    <n v="0"/>
    <x v="5"/>
    <n v="1"/>
    <n v="0"/>
    <s v="JJ Bumrah"/>
    <s v="Rajiv Gandhi Intl. Cricket Stadium"/>
    <s v="Nitin Menon"/>
    <s v="Ian Gould"/>
    <s v="Nigel Llo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2:M18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axis="axisRow" showAll="0">
      <items count="16">
        <item x="8"/>
        <item x="10"/>
        <item x="14"/>
        <item x="7"/>
        <item x="6"/>
        <item x="3"/>
        <item x="11"/>
        <item x="2"/>
        <item x="5"/>
        <item x="12"/>
        <item x="9"/>
        <item x="1"/>
        <item x="1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2:I16" firstHeaderRow="1" firstDataRow="2" firstDataCol="1"/>
  <pivotFields count="18">
    <pivotField dataField="1" showAll="0"/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0"/>
        <item x="10"/>
        <item x="1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id" fld="0" subtotal="count" baseField="1" baseItem="0"/>
  </dataFields>
  <formats count="6">
    <format dxfId="5">
      <pivotArea type="origin" dataOnly="0" labelOnly="1" outline="0" fieldPosition="0"/>
    </format>
    <format dxfId="4">
      <pivotArea field="7" type="button" dataOnly="0" labelOnly="1" outline="0" axis="axisCol" fieldPosition="0"/>
    </format>
    <format dxfId="3">
      <pivotArea field="7" type="button" dataOnly="0" labelOnly="1" outline="0" axis="axisCol" fieldPosition="0"/>
    </format>
    <format dxfId="2">
      <pivotArea field="1" type="button" dataOnly="0" labelOnly="1" outline="0" axis="axisRow" fieldPosition="0"/>
    </format>
    <format dxfId="1">
      <pivotArea dataOnly="0" labelOnly="1" grandCol="1" outline="0" fieldPosition="0"/>
    </format>
    <format dxfId="0">
      <pivotArea dataOnly="0" labelOnly="1" fieldPosition="0">
        <references count="1">
          <reference field="7" count="1">
            <x v="1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18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8"/>
        <item x="10"/>
        <item x="15"/>
        <item x="6"/>
        <item x="7"/>
        <item x="3"/>
        <item x="12"/>
        <item x="2"/>
        <item x="5"/>
        <item x="11"/>
        <item x="9"/>
        <item x="1"/>
        <item x="14"/>
        <item x="4"/>
        <item x="0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id" fld="0" subtotal="count" baseField="10" baseItem="0"/>
  </dataFields>
  <formats count="3">
    <format dxfId="10">
      <pivotArea field="10" type="button" dataOnly="0" labelOnly="1" outline="0" axis="axisRow" fieldPosition="0"/>
    </format>
    <format dxfId="9">
      <pivotArea dataOnly="0" labelOnly="1" outline="0" axis="axisValues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57"/>
  <sheetViews>
    <sheetView topLeftCell="L737" zoomScale="96" workbookViewId="0">
      <selection sqref="A1:R757"/>
    </sheetView>
  </sheetViews>
  <sheetFormatPr defaultRowHeight="14.5" x14ac:dyDescent="0.35"/>
  <cols>
    <col min="1" max="1" width="5.81640625" bestFit="1" customWidth="1"/>
    <col min="2" max="2" width="7.81640625" bestFit="1" customWidth="1"/>
    <col min="3" max="3" width="13.7265625" bestFit="1" customWidth="1"/>
    <col min="4" max="4" width="10.08984375" bestFit="1" customWidth="1"/>
    <col min="5" max="7" width="24.54296875" bestFit="1" customWidth="1"/>
    <col min="8" max="8" width="12" bestFit="1" customWidth="1"/>
    <col min="9" max="9" width="8.1796875" bestFit="1" customWidth="1"/>
    <col min="10" max="10" width="9.54296875" bestFit="1" customWidth="1"/>
    <col min="11" max="11" width="24.54296875" bestFit="1" customWidth="1"/>
    <col min="12" max="12" width="11.54296875" bestFit="1" customWidth="1"/>
    <col min="13" max="13" width="14" bestFit="1" customWidth="1"/>
    <col min="14" max="14" width="17.6328125" bestFit="1" customWidth="1"/>
    <col min="15" max="15" width="46.36328125" bestFit="1" customWidth="1"/>
    <col min="16" max="18" width="23.08984375" bestFit="1" customWidth="1"/>
    <col min="21" max="21" width="15.1796875" bestFit="1" customWidth="1"/>
    <col min="24" max="24" width="17.36328125" bestFit="1" customWidth="1"/>
    <col min="27" max="27" width="11.26953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769</v>
      </c>
      <c r="X1" t="s">
        <v>770</v>
      </c>
      <c r="AA1" t="s">
        <v>771</v>
      </c>
    </row>
    <row r="2" spans="1:27" x14ac:dyDescent="0.35">
      <c r="A2">
        <v>1</v>
      </c>
      <c r="B2" t="s">
        <v>18</v>
      </c>
      <c r="C2" t="s">
        <v>19</v>
      </c>
      <c r="D2" s="1">
        <v>42859</v>
      </c>
      <c r="E2" t="s">
        <v>20</v>
      </c>
      <c r="F2" t="s">
        <v>21</v>
      </c>
      <c r="G2" t="s">
        <v>21</v>
      </c>
      <c r="H2" t="s">
        <v>22</v>
      </c>
      <c r="I2" t="s">
        <v>23</v>
      </c>
      <c r="J2">
        <v>0</v>
      </c>
      <c r="K2" t="s">
        <v>20</v>
      </c>
      <c r="L2">
        <v>35</v>
      </c>
      <c r="M2">
        <v>0</v>
      </c>
      <c r="N2" t="s">
        <v>24</v>
      </c>
      <c r="O2" t="s">
        <v>25</v>
      </c>
      <c r="P2" t="s">
        <v>26</v>
      </c>
      <c r="Q2" t="s">
        <v>27</v>
      </c>
      <c r="U2" t="str">
        <f>IF(L2&gt;0,"Batting First Won","Chasing Won")</f>
        <v>Batting First Won</v>
      </c>
      <c r="X2" t="str">
        <f>IF(G2=K2,"Yes","No")</f>
        <v>No</v>
      </c>
      <c r="AA2" t="str">
        <f>RIGHT(B2,4)</f>
        <v>2017</v>
      </c>
    </row>
    <row r="3" spans="1:27" x14ac:dyDescent="0.35">
      <c r="A3">
        <v>2</v>
      </c>
      <c r="B3" t="s">
        <v>18</v>
      </c>
      <c r="C3" t="s">
        <v>28</v>
      </c>
      <c r="D3" s="1">
        <v>42890</v>
      </c>
      <c r="E3" t="s">
        <v>29</v>
      </c>
      <c r="F3" t="s">
        <v>30</v>
      </c>
      <c r="G3" t="s">
        <v>30</v>
      </c>
      <c r="H3" t="s">
        <v>22</v>
      </c>
      <c r="I3" t="s">
        <v>23</v>
      </c>
      <c r="J3">
        <v>0</v>
      </c>
      <c r="K3" t="s">
        <v>30</v>
      </c>
      <c r="L3">
        <v>0</v>
      </c>
      <c r="M3">
        <v>7</v>
      </c>
      <c r="N3" t="s">
        <v>31</v>
      </c>
      <c r="O3" t="s">
        <v>32</v>
      </c>
      <c r="P3" t="s">
        <v>33</v>
      </c>
      <c r="Q3" t="s">
        <v>34</v>
      </c>
      <c r="U3" t="str">
        <f t="shared" ref="U3:U66" si="0">IF(L3&gt;0,"Batting First Won","Chasing Won")</f>
        <v>Chasing Won</v>
      </c>
      <c r="X3" t="str">
        <f t="shared" ref="X3:X66" si="1">IF(G3=K3,"Yes","No")</f>
        <v>Yes</v>
      </c>
      <c r="AA3" t="str">
        <f t="shared" ref="AA3:AA66" si="2">RIGHT(B3,4)</f>
        <v>2017</v>
      </c>
    </row>
    <row r="4" spans="1:27" x14ac:dyDescent="0.35">
      <c r="A4">
        <v>3</v>
      </c>
      <c r="B4" t="s">
        <v>18</v>
      </c>
      <c r="C4" t="s">
        <v>35</v>
      </c>
      <c r="D4" s="1">
        <v>42920</v>
      </c>
      <c r="E4" t="s">
        <v>36</v>
      </c>
      <c r="F4" t="s">
        <v>37</v>
      </c>
      <c r="G4" t="s">
        <v>37</v>
      </c>
      <c r="H4" t="s">
        <v>22</v>
      </c>
      <c r="I4" t="s">
        <v>23</v>
      </c>
      <c r="J4">
        <v>0</v>
      </c>
      <c r="K4" t="s">
        <v>37</v>
      </c>
      <c r="L4">
        <v>0</v>
      </c>
      <c r="M4">
        <v>10</v>
      </c>
      <c r="N4" t="s">
        <v>38</v>
      </c>
      <c r="O4" t="s">
        <v>39</v>
      </c>
      <c r="P4" t="s">
        <v>40</v>
      </c>
      <c r="Q4" t="s">
        <v>41</v>
      </c>
      <c r="U4" t="str">
        <f t="shared" si="0"/>
        <v>Chasing Won</v>
      </c>
      <c r="X4" t="str">
        <f t="shared" si="1"/>
        <v>Yes</v>
      </c>
      <c r="AA4" t="str">
        <f t="shared" si="2"/>
        <v>2017</v>
      </c>
    </row>
    <row r="5" spans="1:27" x14ac:dyDescent="0.35">
      <c r="A5">
        <v>4</v>
      </c>
      <c r="B5" t="s">
        <v>18</v>
      </c>
      <c r="C5" t="s">
        <v>42</v>
      </c>
      <c r="D5" s="1">
        <v>42951</v>
      </c>
      <c r="E5" t="s">
        <v>30</v>
      </c>
      <c r="F5" t="s">
        <v>43</v>
      </c>
      <c r="G5" t="s">
        <v>43</v>
      </c>
      <c r="H5" t="s">
        <v>22</v>
      </c>
      <c r="I5" t="s">
        <v>23</v>
      </c>
      <c r="J5">
        <v>0</v>
      </c>
      <c r="K5" t="s">
        <v>43</v>
      </c>
      <c r="L5">
        <v>0</v>
      </c>
      <c r="M5">
        <v>6</v>
      </c>
      <c r="N5" t="s">
        <v>44</v>
      </c>
      <c r="O5" t="s">
        <v>45</v>
      </c>
      <c r="P5" t="s">
        <v>46</v>
      </c>
      <c r="Q5" t="s">
        <v>47</v>
      </c>
      <c r="U5" t="str">
        <f t="shared" si="0"/>
        <v>Chasing Won</v>
      </c>
      <c r="X5" t="str">
        <f t="shared" si="1"/>
        <v>Yes</v>
      </c>
      <c r="AA5" t="str">
        <f t="shared" si="2"/>
        <v>2017</v>
      </c>
    </row>
    <row r="6" spans="1:27" x14ac:dyDescent="0.35">
      <c r="A6">
        <v>5</v>
      </c>
      <c r="B6" t="s">
        <v>18</v>
      </c>
      <c r="C6" t="s">
        <v>48</v>
      </c>
      <c r="D6" s="1">
        <v>42951</v>
      </c>
      <c r="E6" t="s">
        <v>21</v>
      </c>
      <c r="F6" t="s">
        <v>49</v>
      </c>
      <c r="G6" t="s">
        <v>21</v>
      </c>
      <c r="H6" t="s">
        <v>50</v>
      </c>
      <c r="I6" t="s">
        <v>23</v>
      </c>
      <c r="J6">
        <v>0</v>
      </c>
      <c r="K6" t="s">
        <v>21</v>
      </c>
      <c r="L6">
        <v>15</v>
      </c>
      <c r="M6">
        <v>0</v>
      </c>
      <c r="N6" t="s">
        <v>51</v>
      </c>
      <c r="O6" t="s">
        <v>52</v>
      </c>
      <c r="U6" t="str">
        <f t="shared" si="0"/>
        <v>Batting First Won</v>
      </c>
      <c r="X6" t="str">
        <f t="shared" si="1"/>
        <v>Yes</v>
      </c>
      <c r="AA6" t="str">
        <f t="shared" si="2"/>
        <v>2017</v>
      </c>
    </row>
    <row r="7" spans="1:27" x14ac:dyDescent="0.35">
      <c r="A7">
        <v>6</v>
      </c>
      <c r="B7" t="s">
        <v>18</v>
      </c>
      <c r="C7" t="s">
        <v>19</v>
      </c>
      <c r="D7" s="1">
        <v>42982</v>
      </c>
      <c r="E7" t="s">
        <v>36</v>
      </c>
      <c r="F7" t="s">
        <v>20</v>
      </c>
      <c r="G7" t="s">
        <v>20</v>
      </c>
      <c r="H7" t="s">
        <v>22</v>
      </c>
      <c r="I7" t="s">
        <v>23</v>
      </c>
      <c r="J7">
        <v>0</v>
      </c>
      <c r="K7" t="s">
        <v>20</v>
      </c>
      <c r="L7">
        <v>0</v>
      </c>
      <c r="M7">
        <v>9</v>
      </c>
      <c r="N7" t="s">
        <v>53</v>
      </c>
      <c r="O7" t="s">
        <v>25</v>
      </c>
      <c r="P7" t="s">
        <v>54</v>
      </c>
      <c r="Q7" t="s">
        <v>27</v>
      </c>
      <c r="U7" t="str">
        <f t="shared" si="0"/>
        <v>Chasing Won</v>
      </c>
      <c r="X7" t="str">
        <f t="shared" si="1"/>
        <v>Yes</v>
      </c>
      <c r="AA7" t="str">
        <f t="shared" si="2"/>
        <v>2017</v>
      </c>
    </row>
    <row r="8" spans="1:27" x14ac:dyDescent="0.35">
      <c r="A8">
        <v>7</v>
      </c>
      <c r="B8" t="s">
        <v>18</v>
      </c>
      <c r="C8" t="s">
        <v>55</v>
      </c>
      <c r="D8" s="1">
        <v>42982</v>
      </c>
      <c r="E8" t="s">
        <v>37</v>
      </c>
      <c r="F8" t="s">
        <v>29</v>
      </c>
      <c r="G8" t="s">
        <v>29</v>
      </c>
      <c r="H8" t="s">
        <v>22</v>
      </c>
      <c r="I8" t="s">
        <v>23</v>
      </c>
      <c r="J8">
        <v>0</v>
      </c>
      <c r="K8" t="s">
        <v>29</v>
      </c>
      <c r="L8">
        <v>0</v>
      </c>
      <c r="M8">
        <v>4</v>
      </c>
      <c r="N8" t="s">
        <v>56</v>
      </c>
      <c r="O8" t="s">
        <v>57</v>
      </c>
      <c r="P8" t="s">
        <v>40</v>
      </c>
      <c r="Q8" t="s">
        <v>41</v>
      </c>
      <c r="U8" t="str">
        <f t="shared" si="0"/>
        <v>Chasing Won</v>
      </c>
      <c r="X8" t="str">
        <f t="shared" si="1"/>
        <v>Yes</v>
      </c>
      <c r="AA8" t="str">
        <f t="shared" si="2"/>
        <v>2017</v>
      </c>
    </row>
    <row r="9" spans="1:27" x14ac:dyDescent="0.35">
      <c r="A9">
        <v>8</v>
      </c>
      <c r="B9" t="s">
        <v>18</v>
      </c>
      <c r="C9" t="s">
        <v>42</v>
      </c>
      <c r="D9" s="1">
        <v>43012</v>
      </c>
      <c r="E9" t="s">
        <v>21</v>
      </c>
      <c r="F9" t="s">
        <v>43</v>
      </c>
      <c r="G9" t="s">
        <v>21</v>
      </c>
      <c r="H9" t="s">
        <v>50</v>
      </c>
      <c r="I9" t="s">
        <v>23</v>
      </c>
      <c r="J9">
        <v>0</v>
      </c>
      <c r="K9" t="s">
        <v>43</v>
      </c>
      <c r="L9">
        <v>0</v>
      </c>
      <c r="M9">
        <v>8</v>
      </c>
      <c r="N9" t="s">
        <v>58</v>
      </c>
      <c r="O9" t="s">
        <v>45</v>
      </c>
      <c r="P9" t="s">
        <v>46</v>
      </c>
      <c r="Q9" t="s">
        <v>47</v>
      </c>
      <c r="U9" t="str">
        <f t="shared" si="0"/>
        <v>Chasing Won</v>
      </c>
      <c r="X9" t="str">
        <f t="shared" si="1"/>
        <v>No</v>
      </c>
      <c r="AA9" t="str">
        <f t="shared" si="2"/>
        <v>2017</v>
      </c>
    </row>
    <row r="10" spans="1:27" x14ac:dyDescent="0.35">
      <c r="A10">
        <v>9</v>
      </c>
      <c r="B10" t="s">
        <v>18</v>
      </c>
      <c r="C10" t="s">
        <v>28</v>
      </c>
      <c r="D10" s="1">
        <v>43043</v>
      </c>
      <c r="E10" t="s">
        <v>49</v>
      </c>
      <c r="F10" t="s">
        <v>30</v>
      </c>
      <c r="G10" t="s">
        <v>30</v>
      </c>
      <c r="H10" t="s">
        <v>22</v>
      </c>
      <c r="I10" t="s">
        <v>23</v>
      </c>
      <c r="J10">
        <v>0</v>
      </c>
      <c r="K10" t="s">
        <v>49</v>
      </c>
      <c r="L10">
        <v>97</v>
      </c>
      <c r="M10">
        <v>0</v>
      </c>
      <c r="N10" t="s">
        <v>59</v>
      </c>
      <c r="O10" t="s">
        <v>32</v>
      </c>
      <c r="P10" t="s">
        <v>26</v>
      </c>
      <c r="Q10" t="s">
        <v>34</v>
      </c>
      <c r="U10" t="str">
        <f t="shared" si="0"/>
        <v>Batting First Won</v>
      </c>
      <c r="X10" t="str">
        <f t="shared" si="1"/>
        <v>No</v>
      </c>
      <c r="AA10" t="str">
        <f t="shared" si="2"/>
        <v>2017</v>
      </c>
    </row>
    <row r="11" spans="1:27" x14ac:dyDescent="0.35">
      <c r="A11">
        <v>10</v>
      </c>
      <c r="B11" t="s">
        <v>18</v>
      </c>
      <c r="C11" t="s">
        <v>55</v>
      </c>
      <c r="D11" s="1">
        <v>43073</v>
      </c>
      <c r="E11" t="s">
        <v>20</v>
      </c>
      <c r="F11" t="s">
        <v>29</v>
      </c>
      <c r="G11" t="s">
        <v>29</v>
      </c>
      <c r="H11" t="s">
        <v>22</v>
      </c>
      <c r="I11" t="s">
        <v>23</v>
      </c>
      <c r="J11">
        <v>0</v>
      </c>
      <c r="K11" t="s">
        <v>29</v>
      </c>
      <c r="L11">
        <v>0</v>
      </c>
      <c r="M11">
        <v>4</v>
      </c>
      <c r="N11" t="s">
        <v>60</v>
      </c>
      <c r="O11" t="s">
        <v>57</v>
      </c>
      <c r="P11" t="s">
        <v>40</v>
      </c>
      <c r="Q11" t="s">
        <v>41</v>
      </c>
      <c r="U11" t="str">
        <f t="shared" si="0"/>
        <v>Chasing Won</v>
      </c>
      <c r="X11" t="str">
        <f t="shared" si="1"/>
        <v>Yes</v>
      </c>
      <c r="AA11" t="str">
        <f t="shared" si="2"/>
        <v>2017</v>
      </c>
    </row>
    <row r="12" spans="1:27" x14ac:dyDescent="0.35">
      <c r="A12">
        <v>11</v>
      </c>
      <c r="B12" t="s">
        <v>18</v>
      </c>
      <c r="C12" t="s">
        <v>61</v>
      </c>
      <c r="D12" t="s">
        <v>62</v>
      </c>
      <c r="E12" t="s">
        <v>43</v>
      </c>
      <c r="F12" t="s">
        <v>37</v>
      </c>
      <c r="G12" t="s">
        <v>37</v>
      </c>
      <c r="H12" t="s">
        <v>22</v>
      </c>
      <c r="I12" t="s">
        <v>23</v>
      </c>
      <c r="J12">
        <v>0</v>
      </c>
      <c r="K12" t="s">
        <v>37</v>
      </c>
      <c r="L12">
        <v>0</v>
      </c>
      <c r="M12">
        <v>8</v>
      </c>
      <c r="N12" t="s">
        <v>63</v>
      </c>
      <c r="O12" t="s">
        <v>64</v>
      </c>
      <c r="P12" t="s">
        <v>54</v>
      </c>
      <c r="Q12" t="s">
        <v>27</v>
      </c>
      <c r="U12" t="str">
        <f t="shared" si="0"/>
        <v>Chasing Won</v>
      </c>
      <c r="X12" t="str">
        <f t="shared" si="1"/>
        <v>Yes</v>
      </c>
      <c r="AA12" t="str">
        <f t="shared" si="2"/>
        <v>2017</v>
      </c>
    </row>
    <row r="13" spans="1:27" x14ac:dyDescent="0.35">
      <c r="A13">
        <v>12</v>
      </c>
      <c r="B13" t="s">
        <v>18</v>
      </c>
      <c r="C13" t="s">
        <v>48</v>
      </c>
      <c r="D13" t="s">
        <v>65</v>
      </c>
      <c r="E13" t="s">
        <v>21</v>
      </c>
      <c r="F13" t="s">
        <v>29</v>
      </c>
      <c r="G13" t="s">
        <v>29</v>
      </c>
      <c r="H13" t="s">
        <v>22</v>
      </c>
      <c r="I13" t="s">
        <v>23</v>
      </c>
      <c r="J13">
        <v>0</v>
      </c>
      <c r="K13" t="s">
        <v>29</v>
      </c>
      <c r="L13">
        <v>0</v>
      </c>
      <c r="M13">
        <v>4</v>
      </c>
      <c r="N13" t="s">
        <v>66</v>
      </c>
      <c r="O13" t="s">
        <v>52</v>
      </c>
      <c r="P13" t="s">
        <v>67</v>
      </c>
      <c r="Q13" t="s">
        <v>46</v>
      </c>
      <c r="U13" t="str">
        <f t="shared" si="0"/>
        <v>Chasing Won</v>
      </c>
      <c r="X13" t="str">
        <f t="shared" si="1"/>
        <v>Yes</v>
      </c>
      <c r="AA13" t="str">
        <f t="shared" si="2"/>
        <v>2017</v>
      </c>
    </row>
    <row r="14" spans="1:27" x14ac:dyDescent="0.35">
      <c r="A14">
        <v>13</v>
      </c>
      <c r="B14" t="s">
        <v>18</v>
      </c>
      <c r="C14" t="s">
        <v>35</v>
      </c>
      <c r="D14" t="s">
        <v>65</v>
      </c>
      <c r="E14" t="s">
        <v>30</v>
      </c>
      <c r="F14" t="s">
        <v>36</v>
      </c>
      <c r="G14" t="s">
        <v>36</v>
      </c>
      <c r="H14" t="s">
        <v>22</v>
      </c>
      <c r="I14" t="s">
        <v>23</v>
      </c>
      <c r="J14">
        <v>0</v>
      </c>
      <c r="K14" t="s">
        <v>36</v>
      </c>
      <c r="L14">
        <v>0</v>
      </c>
      <c r="M14">
        <v>7</v>
      </c>
      <c r="N14" t="s">
        <v>68</v>
      </c>
      <c r="O14" t="s">
        <v>39</v>
      </c>
      <c r="P14" t="s">
        <v>33</v>
      </c>
      <c r="Q14" t="s">
        <v>34</v>
      </c>
      <c r="U14" t="str">
        <f t="shared" si="0"/>
        <v>Chasing Won</v>
      </c>
      <c r="X14" t="str">
        <f t="shared" si="1"/>
        <v>Yes</v>
      </c>
      <c r="AA14" t="str">
        <f t="shared" si="2"/>
        <v>2017</v>
      </c>
    </row>
    <row r="15" spans="1:27" x14ac:dyDescent="0.35">
      <c r="A15">
        <v>14</v>
      </c>
      <c r="B15" t="s">
        <v>18</v>
      </c>
      <c r="C15" t="s">
        <v>61</v>
      </c>
      <c r="D15" t="s">
        <v>69</v>
      </c>
      <c r="E15" t="s">
        <v>37</v>
      </c>
      <c r="F15" t="s">
        <v>20</v>
      </c>
      <c r="G15" t="s">
        <v>20</v>
      </c>
      <c r="H15" t="s">
        <v>22</v>
      </c>
      <c r="I15" t="s">
        <v>23</v>
      </c>
      <c r="J15">
        <v>0</v>
      </c>
      <c r="K15" t="s">
        <v>37</v>
      </c>
      <c r="L15">
        <v>17</v>
      </c>
      <c r="M15">
        <v>0</v>
      </c>
      <c r="N15" t="s">
        <v>70</v>
      </c>
      <c r="O15" t="s">
        <v>64</v>
      </c>
      <c r="P15" t="s">
        <v>26</v>
      </c>
      <c r="Q15" t="s">
        <v>27</v>
      </c>
      <c r="U15" t="str">
        <f t="shared" si="0"/>
        <v>Batting First Won</v>
      </c>
      <c r="X15" t="str">
        <f t="shared" si="1"/>
        <v>No</v>
      </c>
      <c r="AA15" t="str">
        <f t="shared" si="2"/>
        <v>2017</v>
      </c>
    </row>
    <row r="16" spans="1:27" x14ac:dyDescent="0.35">
      <c r="A16">
        <v>15</v>
      </c>
      <c r="B16" t="s">
        <v>18</v>
      </c>
      <c r="C16" t="s">
        <v>71</v>
      </c>
      <c r="D16" t="s">
        <v>69</v>
      </c>
      <c r="E16" t="s">
        <v>49</v>
      </c>
      <c r="F16" t="s">
        <v>43</v>
      </c>
      <c r="G16" t="s">
        <v>49</v>
      </c>
      <c r="H16" t="s">
        <v>50</v>
      </c>
      <c r="I16" t="s">
        <v>23</v>
      </c>
      <c r="J16">
        <v>0</v>
      </c>
      <c r="K16" t="s">
        <v>49</v>
      </c>
      <c r="L16">
        <v>51</v>
      </c>
      <c r="M16">
        <v>0</v>
      </c>
      <c r="N16" t="s">
        <v>72</v>
      </c>
      <c r="O16" t="s">
        <v>73</v>
      </c>
      <c r="P16" t="s">
        <v>74</v>
      </c>
      <c r="Q16" t="s">
        <v>40</v>
      </c>
      <c r="U16" t="str">
        <f t="shared" si="0"/>
        <v>Batting First Won</v>
      </c>
      <c r="X16" t="str">
        <f t="shared" si="1"/>
        <v>Yes</v>
      </c>
      <c r="AA16" t="str">
        <f t="shared" si="2"/>
        <v>2017</v>
      </c>
    </row>
    <row r="17" spans="1:27" x14ac:dyDescent="0.35">
      <c r="A17">
        <v>16</v>
      </c>
      <c r="B17" t="s">
        <v>18</v>
      </c>
      <c r="C17" t="s">
        <v>55</v>
      </c>
      <c r="D17" t="s">
        <v>75</v>
      </c>
      <c r="E17" t="s">
        <v>36</v>
      </c>
      <c r="F17" t="s">
        <v>29</v>
      </c>
      <c r="G17" t="s">
        <v>29</v>
      </c>
      <c r="H17" t="s">
        <v>22</v>
      </c>
      <c r="I17" t="s">
        <v>23</v>
      </c>
      <c r="J17">
        <v>0</v>
      </c>
      <c r="K17" t="s">
        <v>29</v>
      </c>
      <c r="L17">
        <v>0</v>
      </c>
      <c r="M17">
        <v>6</v>
      </c>
      <c r="N17" t="s">
        <v>56</v>
      </c>
      <c r="O17" t="s">
        <v>57</v>
      </c>
      <c r="P17" t="s">
        <v>33</v>
      </c>
      <c r="Q17" t="s">
        <v>34</v>
      </c>
      <c r="U17" t="str">
        <f t="shared" si="0"/>
        <v>Chasing Won</v>
      </c>
      <c r="X17" t="str">
        <f t="shared" si="1"/>
        <v>Yes</v>
      </c>
      <c r="AA17" t="str">
        <f t="shared" si="2"/>
        <v>2017</v>
      </c>
    </row>
    <row r="18" spans="1:27" x14ac:dyDescent="0.35">
      <c r="A18">
        <v>17</v>
      </c>
      <c r="B18" t="s">
        <v>18</v>
      </c>
      <c r="C18" t="s">
        <v>48</v>
      </c>
      <c r="D18" t="s">
        <v>75</v>
      </c>
      <c r="E18" t="s">
        <v>30</v>
      </c>
      <c r="F18" t="s">
        <v>21</v>
      </c>
      <c r="G18" t="s">
        <v>21</v>
      </c>
      <c r="H18" t="s">
        <v>22</v>
      </c>
      <c r="I18" t="s">
        <v>23</v>
      </c>
      <c r="J18">
        <v>0</v>
      </c>
      <c r="K18" t="s">
        <v>30</v>
      </c>
      <c r="L18">
        <v>27</v>
      </c>
      <c r="M18">
        <v>0</v>
      </c>
      <c r="N18" t="s">
        <v>76</v>
      </c>
      <c r="O18" t="s">
        <v>52</v>
      </c>
      <c r="P18" t="s">
        <v>67</v>
      </c>
      <c r="Q18" t="s">
        <v>47</v>
      </c>
      <c r="U18" t="str">
        <f t="shared" si="0"/>
        <v>Batting First Won</v>
      </c>
      <c r="X18" t="str">
        <f t="shared" si="1"/>
        <v>No</v>
      </c>
      <c r="AA18" t="str">
        <f t="shared" si="2"/>
        <v>2017</v>
      </c>
    </row>
    <row r="19" spans="1:27" x14ac:dyDescent="0.35">
      <c r="A19">
        <v>18</v>
      </c>
      <c r="B19" t="s">
        <v>18</v>
      </c>
      <c r="C19" t="s">
        <v>71</v>
      </c>
      <c r="D19" t="s">
        <v>77</v>
      </c>
      <c r="E19" t="s">
        <v>49</v>
      </c>
      <c r="F19" t="s">
        <v>37</v>
      </c>
      <c r="G19" t="s">
        <v>49</v>
      </c>
      <c r="H19" t="s">
        <v>50</v>
      </c>
      <c r="I19" t="s">
        <v>23</v>
      </c>
      <c r="J19">
        <v>0</v>
      </c>
      <c r="K19" t="s">
        <v>37</v>
      </c>
      <c r="L19">
        <v>0</v>
      </c>
      <c r="M19">
        <v>4</v>
      </c>
      <c r="N19" t="s">
        <v>78</v>
      </c>
      <c r="O19" t="s">
        <v>73</v>
      </c>
      <c r="P19" t="s">
        <v>40</v>
      </c>
      <c r="Q19" t="s">
        <v>41</v>
      </c>
      <c r="U19" t="str">
        <f t="shared" si="0"/>
        <v>Chasing Won</v>
      </c>
      <c r="X19" t="str">
        <f t="shared" si="1"/>
        <v>No</v>
      </c>
      <c r="AA19" t="str">
        <f t="shared" si="2"/>
        <v>2017</v>
      </c>
    </row>
    <row r="20" spans="1:27" x14ac:dyDescent="0.35">
      <c r="A20">
        <v>19</v>
      </c>
      <c r="B20" t="s">
        <v>18</v>
      </c>
      <c r="C20" t="s">
        <v>19</v>
      </c>
      <c r="D20" t="s">
        <v>77</v>
      </c>
      <c r="E20" t="s">
        <v>20</v>
      </c>
      <c r="F20" t="s">
        <v>43</v>
      </c>
      <c r="G20" t="s">
        <v>43</v>
      </c>
      <c r="H20" t="s">
        <v>22</v>
      </c>
      <c r="I20" t="s">
        <v>23</v>
      </c>
      <c r="J20">
        <v>0</v>
      </c>
      <c r="K20" t="s">
        <v>20</v>
      </c>
      <c r="L20">
        <v>5</v>
      </c>
      <c r="M20">
        <v>0</v>
      </c>
      <c r="N20" t="s">
        <v>79</v>
      </c>
      <c r="O20" t="s">
        <v>25</v>
      </c>
      <c r="P20" t="s">
        <v>26</v>
      </c>
      <c r="Q20" t="s">
        <v>54</v>
      </c>
      <c r="U20" t="str">
        <f t="shared" si="0"/>
        <v>Batting First Won</v>
      </c>
      <c r="X20" t="str">
        <f t="shared" si="1"/>
        <v>No</v>
      </c>
      <c r="AA20" t="str">
        <f t="shared" si="2"/>
        <v>2017</v>
      </c>
    </row>
    <row r="21" spans="1:27" x14ac:dyDescent="0.35">
      <c r="A21">
        <v>20</v>
      </c>
      <c r="B21" t="s">
        <v>18</v>
      </c>
      <c r="C21" t="s">
        <v>35</v>
      </c>
      <c r="D21" t="s">
        <v>80</v>
      </c>
      <c r="E21" t="s">
        <v>21</v>
      </c>
      <c r="F21" t="s">
        <v>36</v>
      </c>
      <c r="G21" t="s">
        <v>36</v>
      </c>
      <c r="H21" t="s">
        <v>22</v>
      </c>
      <c r="I21" t="s">
        <v>23</v>
      </c>
      <c r="J21">
        <v>0</v>
      </c>
      <c r="K21" t="s">
        <v>21</v>
      </c>
      <c r="L21">
        <v>21</v>
      </c>
      <c r="M21">
        <v>0</v>
      </c>
      <c r="N21" t="s">
        <v>81</v>
      </c>
      <c r="O21" t="s">
        <v>39</v>
      </c>
      <c r="P21" t="s">
        <v>34</v>
      </c>
      <c r="Q21" t="s">
        <v>82</v>
      </c>
      <c r="U21" t="str">
        <f t="shared" si="0"/>
        <v>Batting First Won</v>
      </c>
      <c r="X21" t="str">
        <f t="shared" si="1"/>
        <v>No</v>
      </c>
      <c r="AA21" t="str">
        <f t="shared" si="2"/>
        <v>2017</v>
      </c>
    </row>
    <row r="22" spans="1:27" x14ac:dyDescent="0.35">
      <c r="A22">
        <v>21</v>
      </c>
      <c r="B22" t="s">
        <v>18</v>
      </c>
      <c r="C22" t="s">
        <v>19</v>
      </c>
      <c r="D22" t="s">
        <v>83</v>
      </c>
      <c r="E22" t="s">
        <v>20</v>
      </c>
      <c r="F22" t="s">
        <v>49</v>
      </c>
      <c r="G22" t="s">
        <v>20</v>
      </c>
      <c r="H22" t="s">
        <v>50</v>
      </c>
      <c r="I22" t="s">
        <v>23</v>
      </c>
      <c r="J22">
        <v>0</v>
      </c>
      <c r="K22" t="s">
        <v>20</v>
      </c>
      <c r="L22">
        <v>15</v>
      </c>
      <c r="M22">
        <v>0</v>
      </c>
      <c r="N22" t="s">
        <v>84</v>
      </c>
      <c r="O22" t="s">
        <v>25</v>
      </c>
      <c r="P22" t="s">
        <v>85</v>
      </c>
      <c r="Q22" t="s">
        <v>27</v>
      </c>
      <c r="U22" t="str">
        <f t="shared" si="0"/>
        <v>Batting First Won</v>
      </c>
      <c r="X22" t="str">
        <f t="shared" si="1"/>
        <v>Yes</v>
      </c>
      <c r="AA22" t="str">
        <f t="shared" si="2"/>
        <v>2017</v>
      </c>
    </row>
    <row r="23" spans="1:27" x14ac:dyDescent="0.35">
      <c r="A23">
        <v>22</v>
      </c>
      <c r="B23" t="s">
        <v>18</v>
      </c>
      <c r="C23" t="s">
        <v>42</v>
      </c>
      <c r="D23" t="s">
        <v>86</v>
      </c>
      <c r="E23" t="s">
        <v>43</v>
      </c>
      <c r="F23" t="s">
        <v>29</v>
      </c>
      <c r="G23" t="s">
        <v>29</v>
      </c>
      <c r="H23" t="s">
        <v>22</v>
      </c>
      <c r="I23" t="s">
        <v>23</v>
      </c>
      <c r="J23">
        <v>0</v>
      </c>
      <c r="K23" t="s">
        <v>29</v>
      </c>
      <c r="L23">
        <v>0</v>
      </c>
      <c r="M23">
        <v>8</v>
      </c>
      <c r="N23" t="s">
        <v>87</v>
      </c>
      <c r="O23" t="s">
        <v>45</v>
      </c>
      <c r="P23" t="s">
        <v>88</v>
      </c>
      <c r="Q23" t="s">
        <v>47</v>
      </c>
      <c r="U23" t="str">
        <f t="shared" si="0"/>
        <v>Chasing Won</v>
      </c>
      <c r="X23" t="str">
        <f t="shared" si="1"/>
        <v>Yes</v>
      </c>
      <c r="AA23" t="str">
        <f t="shared" si="2"/>
        <v>2017</v>
      </c>
    </row>
    <row r="24" spans="1:27" x14ac:dyDescent="0.35">
      <c r="A24">
        <v>23</v>
      </c>
      <c r="B24" t="s">
        <v>18</v>
      </c>
      <c r="C24" t="s">
        <v>61</v>
      </c>
      <c r="D24" t="s">
        <v>89</v>
      </c>
      <c r="E24" t="s">
        <v>37</v>
      </c>
      <c r="F24" t="s">
        <v>36</v>
      </c>
      <c r="G24" t="s">
        <v>36</v>
      </c>
      <c r="H24" t="s">
        <v>22</v>
      </c>
      <c r="I24" t="s">
        <v>23</v>
      </c>
      <c r="J24">
        <v>0</v>
      </c>
      <c r="K24" t="s">
        <v>36</v>
      </c>
      <c r="L24">
        <v>0</v>
      </c>
      <c r="M24">
        <v>4</v>
      </c>
      <c r="N24" t="s">
        <v>90</v>
      </c>
      <c r="O24" t="s">
        <v>64</v>
      </c>
      <c r="P24" t="s">
        <v>85</v>
      </c>
      <c r="Q24" t="s">
        <v>40</v>
      </c>
      <c r="U24" t="str">
        <f t="shared" si="0"/>
        <v>Chasing Won</v>
      </c>
      <c r="X24" t="str">
        <f t="shared" si="1"/>
        <v>Yes</v>
      </c>
      <c r="AA24" t="str">
        <f t="shared" si="2"/>
        <v>2017</v>
      </c>
    </row>
    <row r="25" spans="1:27" x14ac:dyDescent="0.35">
      <c r="A25">
        <v>24</v>
      </c>
      <c r="B25" t="s">
        <v>18</v>
      </c>
      <c r="C25" t="s">
        <v>55</v>
      </c>
      <c r="D25" t="s">
        <v>91</v>
      </c>
      <c r="E25" t="s">
        <v>29</v>
      </c>
      <c r="F25" t="s">
        <v>49</v>
      </c>
      <c r="G25" t="s">
        <v>49</v>
      </c>
      <c r="H25" t="s">
        <v>22</v>
      </c>
      <c r="I25" t="s">
        <v>23</v>
      </c>
      <c r="J25">
        <v>0</v>
      </c>
      <c r="K25" t="s">
        <v>29</v>
      </c>
      <c r="L25">
        <v>14</v>
      </c>
      <c r="M25">
        <v>0</v>
      </c>
      <c r="N25" t="s">
        <v>92</v>
      </c>
      <c r="O25" t="s">
        <v>57</v>
      </c>
      <c r="P25" t="s">
        <v>33</v>
      </c>
      <c r="Q25" t="s">
        <v>34</v>
      </c>
      <c r="U25" t="str">
        <f t="shared" si="0"/>
        <v>Batting First Won</v>
      </c>
      <c r="X25" t="str">
        <f t="shared" si="1"/>
        <v>No</v>
      </c>
      <c r="AA25" t="str">
        <f t="shared" si="2"/>
        <v>2017</v>
      </c>
    </row>
    <row r="26" spans="1:27" x14ac:dyDescent="0.35">
      <c r="A26">
        <v>25</v>
      </c>
      <c r="B26" t="s">
        <v>18</v>
      </c>
      <c r="C26" t="s">
        <v>28</v>
      </c>
      <c r="D26" t="s">
        <v>91</v>
      </c>
      <c r="E26" t="s">
        <v>20</v>
      </c>
      <c r="F26" t="s">
        <v>30</v>
      </c>
      <c r="G26" t="s">
        <v>30</v>
      </c>
      <c r="H26" t="s">
        <v>22</v>
      </c>
      <c r="I26" t="s">
        <v>23</v>
      </c>
      <c r="J26">
        <v>0</v>
      </c>
      <c r="K26" t="s">
        <v>30</v>
      </c>
      <c r="L26">
        <v>0</v>
      </c>
      <c r="M26">
        <v>6</v>
      </c>
      <c r="N26" t="s">
        <v>93</v>
      </c>
      <c r="O26" t="s">
        <v>32</v>
      </c>
      <c r="P26" t="s">
        <v>26</v>
      </c>
      <c r="Q26" t="s">
        <v>54</v>
      </c>
      <c r="U26" t="str">
        <f t="shared" si="0"/>
        <v>Chasing Won</v>
      </c>
      <c r="X26" t="str">
        <f t="shared" si="1"/>
        <v>Yes</v>
      </c>
      <c r="AA26" t="str">
        <f t="shared" si="2"/>
        <v>2017</v>
      </c>
    </row>
    <row r="27" spans="1:27" x14ac:dyDescent="0.35">
      <c r="A27">
        <v>26</v>
      </c>
      <c r="B27" t="s">
        <v>18</v>
      </c>
      <c r="C27" t="s">
        <v>35</v>
      </c>
      <c r="D27" t="s">
        <v>94</v>
      </c>
      <c r="E27" t="s">
        <v>43</v>
      </c>
      <c r="F27" t="s">
        <v>36</v>
      </c>
      <c r="G27" t="s">
        <v>36</v>
      </c>
      <c r="H27" t="s">
        <v>22</v>
      </c>
      <c r="I27" t="s">
        <v>23</v>
      </c>
      <c r="J27">
        <v>0</v>
      </c>
      <c r="K27" t="s">
        <v>43</v>
      </c>
      <c r="L27">
        <v>26</v>
      </c>
      <c r="M27">
        <v>0</v>
      </c>
      <c r="N27" t="s">
        <v>95</v>
      </c>
      <c r="O27" t="s">
        <v>39</v>
      </c>
      <c r="P27" t="s">
        <v>46</v>
      </c>
      <c r="Q27" t="s">
        <v>88</v>
      </c>
      <c r="U27" t="str">
        <f t="shared" si="0"/>
        <v>Batting First Won</v>
      </c>
      <c r="X27" t="str">
        <f t="shared" si="1"/>
        <v>No</v>
      </c>
      <c r="AA27" t="str">
        <f t="shared" si="2"/>
        <v>2017</v>
      </c>
    </row>
    <row r="28" spans="1:27" x14ac:dyDescent="0.35">
      <c r="A28">
        <v>27</v>
      </c>
      <c r="B28" t="s">
        <v>18</v>
      </c>
      <c r="C28" t="s">
        <v>61</v>
      </c>
      <c r="D28" t="s">
        <v>94</v>
      </c>
      <c r="E28" t="s">
        <v>37</v>
      </c>
      <c r="F28" t="s">
        <v>21</v>
      </c>
      <c r="G28" t="s">
        <v>21</v>
      </c>
      <c r="H28" t="s">
        <v>22</v>
      </c>
      <c r="I28" t="s">
        <v>23</v>
      </c>
      <c r="J28">
        <v>0</v>
      </c>
      <c r="K28" t="s">
        <v>37</v>
      </c>
      <c r="L28">
        <v>82</v>
      </c>
      <c r="M28">
        <v>0</v>
      </c>
      <c r="N28" t="s">
        <v>78</v>
      </c>
      <c r="O28" t="s">
        <v>64</v>
      </c>
      <c r="P28" t="s">
        <v>85</v>
      </c>
      <c r="Q28" t="s">
        <v>41</v>
      </c>
      <c r="U28" t="str">
        <f t="shared" si="0"/>
        <v>Batting First Won</v>
      </c>
      <c r="X28" t="str">
        <f t="shared" si="1"/>
        <v>No</v>
      </c>
      <c r="AA28" t="str">
        <f t="shared" si="2"/>
        <v>2017</v>
      </c>
    </row>
    <row r="29" spans="1:27" x14ac:dyDescent="0.35">
      <c r="A29">
        <v>28</v>
      </c>
      <c r="B29" t="s">
        <v>18</v>
      </c>
      <c r="C29" t="s">
        <v>55</v>
      </c>
      <c r="D29" t="s">
        <v>96</v>
      </c>
      <c r="E29" t="s">
        <v>30</v>
      </c>
      <c r="F29" t="s">
        <v>29</v>
      </c>
      <c r="G29" t="s">
        <v>29</v>
      </c>
      <c r="H29" t="s">
        <v>22</v>
      </c>
      <c r="I29" t="s">
        <v>23</v>
      </c>
      <c r="J29">
        <v>0</v>
      </c>
      <c r="K29" t="s">
        <v>30</v>
      </c>
      <c r="L29">
        <v>3</v>
      </c>
      <c r="M29">
        <v>0</v>
      </c>
      <c r="N29" t="s">
        <v>76</v>
      </c>
      <c r="O29" t="s">
        <v>57</v>
      </c>
      <c r="P29" t="s">
        <v>33</v>
      </c>
      <c r="Q29" t="s">
        <v>34</v>
      </c>
      <c r="U29" t="str">
        <f t="shared" si="0"/>
        <v>Batting First Won</v>
      </c>
      <c r="X29" t="str">
        <f t="shared" si="1"/>
        <v>No</v>
      </c>
      <c r="AA29" t="str">
        <f t="shared" si="2"/>
        <v>2017</v>
      </c>
    </row>
    <row r="30" spans="1:27" x14ac:dyDescent="0.35">
      <c r="A30">
        <v>29</v>
      </c>
      <c r="B30" t="s">
        <v>18</v>
      </c>
      <c r="C30" t="s">
        <v>28</v>
      </c>
      <c r="D30" t="s">
        <v>97</v>
      </c>
      <c r="E30" t="s">
        <v>30</v>
      </c>
      <c r="F30" t="s">
        <v>37</v>
      </c>
      <c r="G30" t="s">
        <v>37</v>
      </c>
      <c r="H30" t="s">
        <v>22</v>
      </c>
      <c r="I30" t="s">
        <v>23</v>
      </c>
      <c r="J30">
        <v>0</v>
      </c>
      <c r="K30" t="s">
        <v>37</v>
      </c>
      <c r="L30">
        <v>0</v>
      </c>
      <c r="M30">
        <v>7</v>
      </c>
      <c r="N30" t="s">
        <v>70</v>
      </c>
      <c r="O30" t="s">
        <v>32</v>
      </c>
      <c r="P30" t="s">
        <v>26</v>
      </c>
      <c r="Q30" t="s">
        <v>27</v>
      </c>
      <c r="U30" t="str">
        <f t="shared" si="0"/>
        <v>Chasing Won</v>
      </c>
      <c r="X30" t="str">
        <f t="shared" si="1"/>
        <v>Yes</v>
      </c>
      <c r="AA30" t="str">
        <f t="shared" si="2"/>
        <v>2017</v>
      </c>
    </row>
    <row r="31" spans="1:27" x14ac:dyDescent="0.35">
      <c r="A31">
        <v>30</v>
      </c>
      <c r="B31" t="s">
        <v>18</v>
      </c>
      <c r="C31" t="s">
        <v>48</v>
      </c>
      <c r="D31" t="s">
        <v>98</v>
      </c>
      <c r="E31" t="s">
        <v>21</v>
      </c>
      <c r="F31" t="s">
        <v>36</v>
      </c>
      <c r="G31" t="s">
        <v>36</v>
      </c>
      <c r="H31" t="s">
        <v>22</v>
      </c>
      <c r="I31" t="s">
        <v>23</v>
      </c>
      <c r="J31">
        <v>0</v>
      </c>
      <c r="K31" t="s">
        <v>36</v>
      </c>
      <c r="L31">
        <v>0</v>
      </c>
      <c r="M31">
        <v>7</v>
      </c>
      <c r="N31" t="s">
        <v>68</v>
      </c>
      <c r="O31" t="s">
        <v>52</v>
      </c>
      <c r="P31" t="s">
        <v>46</v>
      </c>
      <c r="Q31" t="s">
        <v>47</v>
      </c>
      <c r="U31" t="str">
        <f t="shared" si="0"/>
        <v>Chasing Won</v>
      </c>
      <c r="X31" t="str">
        <f t="shared" si="1"/>
        <v>Yes</v>
      </c>
      <c r="AA31" t="str">
        <f t="shared" si="2"/>
        <v>2017</v>
      </c>
    </row>
    <row r="32" spans="1:27" x14ac:dyDescent="0.35">
      <c r="A32">
        <v>31</v>
      </c>
      <c r="B32" t="s">
        <v>18</v>
      </c>
      <c r="C32" t="s">
        <v>61</v>
      </c>
      <c r="D32" t="s">
        <v>99</v>
      </c>
      <c r="E32" t="s">
        <v>49</v>
      </c>
      <c r="F32" t="s">
        <v>37</v>
      </c>
      <c r="G32" t="s">
        <v>37</v>
      </c>
      <c r="H32" t="s">
        <v>22</v>
      </c>
      <c r="I32" t="s">
        <v>23</v>
      </c>
      <c r="J32">
        <v>0</v>
      </c>
      <c r="K32" t="s">
        <v>37</v>
      </c>
      <c r="L32">
        <v>0</v>
      </c>
      <c r="M32">
        <v>7</v>
      </c>
      <c r="N32" t="s">
        <v>100</v>
      </c>
      <c r="O32" t="s">
        <v>64</v>
      </c>
      <c r="P32" t="s">
        <v>27</v>
      </c>
      <c r="Q32" t="s">
        <v>34</v>
      </c>
      <c r="U32" t="str">
        <f t="shared" si="0"/>
        <v>Chasing Won</v>
      </c>
      <c r="X32" t="str">
        <f t="shared" si="1"/>
        <v>Yes</v>
      </c>
      <c r="AA32" t="str">
        <f t="shared" si="2"/>
        <v>2017</v>
      </c>
    </row>
    <row r="33" spans="1:27" x14ac:dyDescent="0.35">
      <c r="A33">
        <v>32</v>
      </c>
      <c r="B33" t="s">
        <v>18</v>
      </c>
      <c r="C33" t="s">
        <v>101</v>
      </c>
      <c r="D33" t="s">
        <v>99</v>
      </c>
      <c r="E33" t="s">
        <v>20</v>
      </c>
      <c r="F33" t="s">
        <v>43</v>
      </c>
      <c r="G33" t="s">
        <v>43</v>
      </c>
      <c r="H33" t="s">
        <v>22</v>
      </c>
      <c r="I33" t="s">
        <v>23</v>
      </c>
      <c r="J33">
        <v>0</v>
      </c>
      <c r="K33" t="s">
        <v>20</v>
      </c>
      <c r="L33">
        <v>26</v>
      </c>
      <c r="M33">
        <v>0</v>
      </c>
      <c r="N33" t="s">
        <v>53</v>
      </c>
      <c r="O33" t="s">
        <v>102</v>
      </c>
      <c r="P33" t="s">
        <v>40</v>
      </c>
      <c r="Q33" t="s">
        <v>41</v>
      </c>
      <c r="U33" t="str">
        <f t="shared" si="0"/>
        <v>Batting First Won</v>
      </c>
      <c r="X33" t="str">
        <f t="shared" si="1"/>
        <v>No</v>
      </c>
      <c r="AA33" t="str">
        <f t="shared" si="2"/>
        <v>2017</v>
      </c>
    </row>
    <row r="34" spans="1:27" x14ac:dyDescent="0.35">
      <c r="A34">
        <v>33</v>
      </c>
      <c r="B34" t="s">
        <v>18</v>
      </c>
      <c r="C34" t="s">
        <v>28</v>
      </c>
      <c r="D34" t="s">
        <v>103</v>
      </c>
      <c r="E34" t="s">
        <v>30</v>
      </c>
      <c r="F34" t="s">
        <v>21</v>
      </c>
      <c r="G34" t="s">
        <v>21</v>
      </c>
      <c r="H34" t="s">
        <v>22</v>
      </c>
      <c r="I34" t="s">
        <v>23</v>
      </c>
      <c r="J34">
        <v>0</v>
      </c>
      <c r="K34" t="s">
        <v>30</v>
      </c>
      <c r="L34">
        <v>61</v>
      </c>
      <c r="M34">
        <v>0</v>
      </c>
      <c r="N34" t="s">
        <v>104</v>
      </c>
      <c r="O34" t="s">
        <v>32</v>
      </c>
      <c r="P34" t="s">
        <v>67</v>
      </c>
      <c r="Q34" t="s">
        <v>88</v>
      </c>
      <c r="U34" t="str">
        <f t="shared" si="0"/>
        <v>Batting First Won</v>
      </c>
      <c r="X34" t="str">
        <f t="shared" si="1"/>
        <v>No</v>
      </c>
      <c r="AA34" t="str">
        <f t="shared" si="2"/>
        <v>2017</v>
      </c>
    </row>
    <row r="35" spans="1:27" x14ac:dyDescent="0.35">
      <c r="A35">
        <v>34</v>
      </c>
      <c r="B35" t="s">
        <v>18</v>
      </c>
      <c r="C35" t="s">
        <v>35</v>
      </c>
      <c r="D35" t="s">
        <v>103</v>
      </c>
      <c r="E35" t="s">
        <v>36</v>
      </c>
      <c r="F35" t="s">
        <v>29</v>
      </c>
      <c r="G35" t="s">
        <v>36</v>
      </c>
      <c r="H35" t="s">
        <v>50</v>
      </c>
      <c r="I35" t="s">
        <v>105</v>
      </c>
      <c r="J35">
        <v>0</v>
      </c>
      <c r="K35" t="s">
        <v>29</v>
      </c>
      <c r="L35">
        <v>0</v>
      </c>
      <c r="M35">
        <v>0</v>
      </c>
      <c r="N35" t="s">
        <v>106</v>
      </c>
      <c r="O35" t="s">
        <v>39</v>
      </c>
      <c r="P35" t="s">
        <v>46</v>
      </c>
      <c r="Q35" t="s">
        <v>85</v>
      </c>
      <c r="U35" t="str">
        <f t="shared" si="0"/>
        <v>Chasing Won</v>
      </c>
      <c r="X35" t="str">
        <f t="shared" si="1"/>
        <v>No</v>
      </c>
      <c r="AA35" t="str">
        <f t="shared" si="2"/>
        <v>2017</v>
      </c>
    </row>
    <row r="36" spans="1:27" x14ac:dyDescent="0.35">
      <c r="A36">
        <v>35</v>
      </c>
      <c r="B36" t="s">
        <v>18</v>
      </c>
      <c r="C36" t="s">
        <v>101</v>
      </c>
      <c r="D36" t="s">
        <v>107</v>
      </c>
      <c r="E36" t="s">
        <v>49</v>
      </c>
      <c r="F36" t="s">
        <v>43</v>
      </c>
      <c r="G36" t="s">
        <v>43</v>
      </c>
      <c r="H36" t="s">
        <v>22</v>
      </c>
      <c r="I36" t="s">
        <v>23</v>
      </c>
      <c r="J36">
        <v>0</v>
      </c>
      <c r="K36" t="s">
        <v>43</v>
      </c>
      <c r="L36">
        <v>0</v>
      </c>
      <c r="M36">
        <v>10</v>
      </c>
      <c r="N36" t="s">
        <v>108</v>
      </c>
      <c r="O36" t="s">
        <v>102</v>
      </c>
      <c r="P36" t="s">
        <v>74</v>
      </c>
      <c r="Q36" t="s">
        <v>41</v>
      </c>
      <c r="U36" t="str">
        <f t="shared" si="0"/>
        <v>Chasing Won</v>
      </c>
      <c r="X36" t="str">
        <f t="shared" si="1"/>
        <v>Yes</v>
      </c>
      <c r="AA36" t="str">
        <f t="shared" si="2"/>
        <v>2017</v>
      </c>
    </row>
    <row r="37" spans="1:27" x14ac:dyDescent="0.35">
      <c r="A37">
        <v>36</v>
      </c>
      <c r="B37" t="s">
        <v>18</v>
      </c>
      <c r="C37" t="s">
        <v>19</v>
      </c>
      <c r="D37" t="s">
        <v>107</v>
      </c>
      <c r="E37" t="s">
        <v>20</v>
      </c>
      <c r="F37" t="s">
        <v>37</v>
      </c>
      <c r="G37" t="s">
        <v>37</v>
      </c>
      <c r="H37" t="s">
        <v>22</v>
      </c>
      <c r="I37" t="s">
        <v>23</v>
      </c>
      <c r="J37">
        <v>0</v>
      </c>
      <c r="K37" t="s">
        <v>20</v>
      </c>
      <c r="L37">
        <v>48</v>
      </c>
      <c r="M37">
        <v>0</v>
      </c>
      <c r="N37" t="s">
        <v>109</v>
      </c>
      <c r="O37" t="s">
        <v>25</v>
      </c>
      <c r="P37" t="s">
        <v>26</v>
      </c>
      <c r="Q37" t="s">
        <v>34</v>
      </c>
      <c r="U37" t="str">
        <f t="shared" si="0"/>
        <v>Batting First Won</v>
      </c>
      <c r="X37" t="str">
        <f t="shared" si="1"/>
        <v>No</v>
      </c>
      <c r="AA37" t="str">
        <f t="shared" si="2"/>
        <v>2017</v>
      </c>
    </row>
    <row r="38" spans="1:27" x14ac:dyDescent="0.35">
      <c r="A38">
        <v>37</v>
      </c>
      <c r="B38" t="s">
        <v>18</v>
      </c>
      <c r="C38" t="s">
        <v>55</v>
      </c>
      <c r="D38" s="1">
        <v>42740</v>
      </c>
      <c r="E38" t="s">
        <v>21</v>
      </c>
      <c r="F38" t="s">
        <v>29</v>
      </c>
      <c r="G38" t="s">
        <v>21</v>
      </c>
      <c r="H38" t="s">
        <v>50</v>
      </c>
      <c r="I38" t="s">
        <v>23</v>
      </c>
      <c r="J38">
        <v>0</v>
      </c>
      <c r="K38" t="s">
        <v>29</v>
      </c>
      <c r="L38">
        <v>0</v>
      </c>
      <c r="M38">
        <v>5</v>
      </c>
      <c r="N38" t="s">
        <v>110</v>
      </c>
      <c r="O38" t="s">
        <v>57</v>
      </c>
      <c r="P38" t="s">
        <v>46</v>
      </c>
      <c r="Q38" t="s">
        <v>85</v>
      </c>
      <c r="U38" t="str">
        <f t="shared" si="0"/>
        <v>Chasing Won</v>
      </c>
      <c r="X38" t="str">
        <f t="shared" si="1"/>
        <v>No</v>
      </c>
      <c r="AA38" t="str">
        <f t="shared" si="2"/>
        <v>2017</v>
      </c>
    </row>
    <row r="39" spans="1:27" x14ac:dyDescent="0.35">
      <c r="A39">
        <v>38</v>
      </c>
      <c r="B39" t="s">
        <v>18</v>
      </c>
      <c r="C39" t="s">
        <v>28</v>
      </c>
      <c r="D39" s="1">
        <v>42740</v>
      </c>
      <c r="E39" t="s">
        <v>36</v>
      </c>
      <c r="F39" t="s">
        <v>30</v>
      </c>
      <c r="G39" t="s">
        <v>30</v>
      </c>
      <c r="H39" t="s">
        <v>22</v>
      </c>
      <c r="I39" t="s">
        <v>23</v>
      </c>
      <c r="J39">
        <v>0</v>
      </c>
      <c r="K39" t="s">
        <v>30</v>
      </c>
      <c r="L39">
        <v>0</v>
      </c>
      <c r="M39">
        <v>5</v>
      </c>
      <c r="N39" t="s">
        <v>76</v>
      </c>
      <c r="O39" t="s">
        <v>32</v>
      </c>
      <c r="P39" t="s">
        <v>88</v>
      </c>
      <c r="Q39" t="s">
        <v>47</v>
      </c>
      <c r="U39" t="str">
        <f t="shared" si="0"/>
        <v>Chasing Won</v>
      </c>
      <c r="X39" t="str">
        <f t="shared" si="1"/>
        <v>Yes</v>
      </c>
      <c r="AA39" t="str">
        <f t="shared" si="2"/>
        <v>2017</v>
      </c>
    </row>
    <row r="40" spans="1:27" x14ac:dyDescent="0.35">
      <c r="A40">
        <v>39</v>
      </c>
      <c r="B40" t="s">
        <v>18</v>
      </c>
      <c r="C40" t="s">
        <v>71</v>
      </c>
      <c r="D40" s="1">
        <v>42771</v>
      </c>
      <c r="E40" t="s">
        <v>20</v>
      </c>
      <c r="F40" t="s">
        <v>49</v>
      </c>
      <c r="G40" t="s">
        <v>49</v>
      </c>
      <c r="H40" t="s">
        <v>22</v>
      </c>
      <c r="I40" t="s">
        <v>23</v>
      </c>
      <c r="J40">
        <v>0</v>
      </c>
      <c r="K40" t="s">
        <v>49</v>
      </c>
      <c r="L40">
        <v>0</v>
      </c>
      <c r="M40">
        <v>6</v>
      </c>
      <c r="N40" t="s">
        <v>111</v>
      </c>
      <c r="O40" t="s">
        <v>73</v>
      </c>
      <c r="P40" t="s">
        <v>74</v>
      </c>
      <c r="Q40" t="s">
        <v>40</v>
      </c>
      <c r="U40" t="str">
        <f t="shared" si="0"/>
        <v>Chasing Won</v>
      </c>
      <c r="X40" t="str">
        <f t="shared" si="1"/>
        <v>Yes</v>
      </c>
      <c r="AA40" t="str">
        <f t="shared" si="2"/>
        <v>2017</v>
      </c>
    </row>
    <row r="41" spans="1:27" x14ac:dyDescent="0.35">
      <c r="A41">
        <v>40</v>
      </c>
      <c r="B41" t="s">
        <v>18</v>
      </c>
      <c r="C41" t="s">
        <v>61</v>
      </c>
      <c r="D41" s="1">
        <v>42799</v>
      </c>
      <c r="E41" t="s">
        <v>37</v>
      </c>
      <c r="F41" t="s">
        <v>30</v>
      </c>
      <c r="G41" t="s">
        <v>30</v>
      </c>
      <c r="H41" t="s">
        <v>22</v>
      </c>
      <c r="I41" t="s">
        <v>23</v>
      </c>
      <c r="J41">
        <v>0</v>
      </c>
      <c r="K41" t="s">
        <v>30</v>
      </c>
      <c r="L41">
        <v>0</v>
      </c>
      <c r="M41">
        <v>4</v>
      </c>
      <c r="N41" t="s">
        <v>112</v>
      </c>
      <c r="O41" t="s">
        <v>64</v>
      </c>
      <c r="P41" t="s">
        <v>67</v>
      </c>
      <c r="Q41" t="s">
        <v>33</v>
      </c>
      <c r="U41" t="str">
        <f t="shared" si="0"/>
        <v>Chasing Won</v>
      </c>
      <c r="X41" t="str">
        <f t="shared" si="1"/>
        <v>Yes</v>
      </c>
      <c r="AA41" t="str">
        <f t="shared" si="2"/>
        <v>2017</v>
      </c>
    </row>
    <row r="42" spans="1:27" x14ac:dyDescent="0.35">
      <c r="A42">
        <v>41</v>
      </c>
      <c r="B42" t="s">
        <v>18</v>
      </c>
      <c r="C42" t="s">
        <v>71</v>
      </c>
      <c r="D42" s="1">
        <v>42830</v>
      </c>
      <c r="E42" t="s">
        <v>36</v>
      </c>
      <c r="F42" t="s">
        <v>49</v>
      </c>
      <c r="G42" t="s">
        <v>49</v>
      </c>
      <c r="H42" t="s">
        <v>22</v>
      </c>
      <c r="I42" t="s">
        <v>23</v>
      </c>
      <c r="J42">
        <v>0</v>
      </c>
      <c r="K42" t="s">
        <v>49</v>
      </c>
      <c r="L42">
        <v>0</v>
      </c>
      <c r="M42">
        <v>7</v>
      </c>
      <c r="N42" t="s">
        <v>113</v>
      </c>
      <c r="O42" t="s">
        <v>73</v>
      </c>
      <c r="P42" t="s">
        <v>88</v>
      </c>
      <c r="Q42" t="s">
        <v>40</v>
      </c>
      <c r="U42" t="str">
        <f t="shared" si="0"/>
        <v>Chasing Won</v>
      </c>
      <c r="X42" t="str">
        <f t="shared" si="1"/>
        <v>Yes</v>
      </c>
      <c r="AA42" t="str">
        <f t="shared" si="2"/>
        <v>2017</v>
      </c>
    </row>
    <row r="43" spans="1:27" x14ac:dyDescent="0.35">
      <c r="A43">
        <v>42</v>
      </c>
      <c r="B43" t="s">
        <v>18</v>
      </c>
      <c r="C43" t="s">
        <v>48</v>
      </c>
      <c r="D43" s="1">
        <v>42860</v>
      </c>
      <c r="E43" t="s">
        <v>43</v>
      </c>
      <c r="F43" t="s">
        <v>21</v>
      </c>
      <c r="G43" t="s">
        <v>21</v>
      </c>
      <c r="H43" t="s">
        <v>22</v>
      </c>
      <c r="I43" t="s">
        <v>23</v>
      </c>
      <c r="J43">
        <v>0</v>
      </c>
      <c r="K43" t="s">
        <v>43</v>
      </c>
      <c r="L43">
        <v>19</v>
      </c>
      <c r="M43">
        <v>0</v>
      </c>
      <c r="N43" t="s">
        <v>108</v>
      </c>
      <c r="O43" t="s">
        <v>52</v>
      </c>
      <c r="P43" t="s">
        <v>85</v>
      </c>
      <c r="Q43" t="s">
        <v>47</v>
      </c>
      <c r="U43" t="str">
        <f t="shared" si="0"/>
        <v>Batting First Won</v>
      </c>
      <c r="X43" t="str">
        <f t="shared" si="1"/>
        <v>No</v>
      </c>
      <c r="AA43" t="str">
        <f t="shared" si="2"/>
        <v>2017</v>
      </c>
    </row>
    <row r="44" spans="1:27" x14ac:dyDescent="0.35">
      <c r="A44">
        <v>43</v>
      </c>
      <c r="B44" t="s">
        <v>18</v>
      </c>
      <c r="C44" t="s">
        <v>19</v>
      </c>
      <c r="D44" s="1">
        <v>42891</v>
      </c>
      <c r="E44" t="s">
        <v>30</v>
      </c>
      <c r="F44" t="s">
        <v>20</v>
      </c>
      <c r="G44" t="s">
        <v>20</v>
      </c>
      <c r="H44" t="s">
        <v>22</v>
      </c>
      <c r="I44" t="s">
        <v>23</v>
      </c>
      <c r="J44">
        <v>0</v>
      </c>
      <c r="K44" t="s">
        <v>30</v>
      </c>
      <c r="L44">
        <v>12</v>
      </c>
      <c r="M44">
        <v>0</v>
      </c>
      <c r="N44" t="s">
        <v>114</v>
      </c>
      <c r="O44" t="s">
        <v>25</v>
      </c>
      <c r="P44" t="s">
        <v>67</v>
      </c>
      <c r="Q44" t="s">
        <v>46</v>
      </c>
      <c r="U44" t="str">
        <f t="shared" si="0"/>
        <v>Batting First Won</v>
      </c>
      <c r="X44" t="str">
        <f t="shared" si="1"/>
        <v>No</v>
      </c>
      <c r="AA44" t="str">
        <f t="shared" si="2"/>
        <v>2017</v>
      </c>
    </row>
    <row r="45" spans="1:27" x14ac:dyDescent="0.35">
      <c r="A45">
        <v>44</v>
      </c>
      <c r="B45" t="s">
        <v>18</v>
      </c>
      <c r="C45" t="s">
        <v>71</v>
      </c>
      <c r="D45" s="1">
        <v>42891</v>
      </c>
      <c r="E45" t="s">
        <v>29</v>
      </c>
      <c r="F45" t="s">
        <v>49</v>
      </c>
      <c r="G45" t="s">
        <v>49</v>
      </c>
      <c r="H45" t="s">
        <v>22</v>
      </c>
      <c r="I45" t="s">
        <v>23</v>
      </c>
      <c r="J45">
        <v>0</v>
      </c>
      <c r="K45" t="s">
        <v>29</v>
      </c>
      <c r="L45">
        <v>146</v>
      </c>
      <c r="M45">
        <v>0</v>
      </c>
      <c r="N45" t="s">
        <v>115</v>
      </c>
      <c r="O45" t="s">
        <v>73</v>
      </c>
      <c r="P45" t="s">
        <v>40</v>
      </c>
      <c r="Q45" t="s">
        <v>41</v>
      </c>
      <c r="U45" t="str">
        <f t="shared" si="0"/>
        <v>Batting First Won</v>
      </c>
      <c r="X45" t="str">
        <f t="shared" si="1"/>
        <v>No</v>
      </c>
      <c r="AA45" t="str">
        <f t="shared" si="2"/>
        <v>2017</v>
      </c>
    </row>
    <row r="46" spans="1:27" x14ac:dyDescent="0.35">
      <c r="A46">
        <v>45</v>
      </c>
      <c r="B46" t="s">
        <v>18</v>
      </c>
      <c r="C46" t="s">
        <v>48</v>
      </c>
      <c r="D46" s="1">
        <v>42921</v>
      </c>
      <c r="E46" t="s">
        <v>21</v>
      </c>
      <c r="F46" t="s">
        <v>37</v>
      </c>
      <c r="G46" t="s">
        <v>37</v>
      </c>
      <c r="H46" t="s">
        <v>22</v>
      </c>
      <c r="I46" t="s">
        <v>23</v>
      </c>
      <c r="J46">
        <v>0</v>
      </c>
      <c r="K46" t="s">
        <v>37</v>
      </c>
      <c r="L46">
        <v>0</v>
      </c>
      <c r="M46">
        <v>6</v>
      </c>
      <c r="N46" t="s">
        <v>63</v>
      </c>
      <c r="O46" t="s">
        <v>52</v>
      </c>
      <c r="P46" t="s">
        <v>26</v>
      </c>
      <c r="Q46" t="s">
        <v>47</v>
      </c>
      <c r="U46" t="str">
        <f t="shared" si="0"/>
        <v>Chasing Won</v>
      </c>
      <c r="X46" t="str">
        <f t="shared" si="1"/>
        <v>Yes</v>
      </c>
      <c r="AA46" t="str">
        <f t="shared" si="2"/>
        <v>2017</v>
      </c>
    </row>
    <row r="47" spans="1:27" x14ac:dyDescent="0.35">
      <c r="A47">
        <v>46</v>
      </c>
      <c r="B47" t="s">
        <v>18</v>
      </c>
      <c r="C47" t="s">
        <v>101</v>
      </c>
      <c r="D47" s="1">
        <v>42921</v>
      </c>
      <c r="E47" t="s">
        <v>43</v>
      </c>
      <c r="F47" t="s">
        <v>36</v>
      </c>
      <c r="G47" t="s">
        <v>36</v>
      </c>
      <c r="H47" t="s">
        <v>22</v>
      </c>
      <c r="I47" t="s">
        <v>23</v>
      </c>
      <c r="J47">
        <v>0</v>
      </c>
      <c r="K47" t="s">
        <v>36</v>
      </c>
      <c r="L47">
        <v>0</v>
      </c>
      <c r="M47">
        <v>6</v>
      </c>
      <c r="N47" t="s">
        <v>116</v>
      </c>
      <c r="O47" t="s">
        <v>102</v>
      </c>
      <c r="P47" t="s">
        <v>33</v>
      </c>
      <c r="Q47" t="s">
        <v>82</v>
      </c>
      <c r="U47" t="str">
        <f t="shared" si="0"/>
        <v>Chasing Won</v>
      </c>
      <c r="X47" t="str">
        <f t="shared" si="1"/>
        <v>Yes</v>
      </c>
      <c r="AA47" t="str">
        <f t="shared" si="2"/>
        <v>2017</v>
      </c>
    </row>
    <row r="48" spans="1:27" x14ac:dyDescent="0.35">
      <c r="A48">
        <v>47</v>
      </c>
      <c r="B48" t="s">
        <v>18</v>
      </c>
      <c r="C48" t="s">
        <v>19</v>
      </c>
      <c r="D48" s="1">
        <v>42952</v>
      </c>
      <c r="E48" t="s">
        <v>29</v>
      </c>
      <c r="F48" t="s">
        <v>20</v>
      </c>
      <c r="G48" t="s">
        <v>29</v>
      </c>
      <c r="H48" t="s">
        <v>50</v>
      </c>
      <c r="I48" t="s">
        <v>23</v>
      </c>
      <c r="J48">
        <v>0</v>
      </c>
      <c r="K48" t="s">
        <v>20</v>
      </c>
      <c r="L48">
        <v>0</v>
      </c>
      <c r="M48">
        <v>7</v>
      </c>
      <c r="N48" t="s">
        <v>117</v>
      </c>
      <c r="O48" t="s">
        <v>25</v>
      </c>
      <c r="P48" t="s">
        <v>67</v>
      </c>
      <c r="Q48" t="s">
        <v>88</v>
      </c>
      <c r="U48" t="str">
        <f t="shared" si="0"/>
        <v>Chasing Won</v>
      </c>
      <c r="X48" t="str">
        <f t="shared" si="1"/>
        <v>No</v>
      </c>
      <c r="AA48" t="str">
        <f t="shared" si="2"/>
        <v>2017</v>
      </c>
    </row>
    <row r="49" spans="1:27" x14ac:dyDescent="0.35">
      <c r="A49">
        <v>48</v>
      </c>
      <c r="B49" t="s">
        <v>18</v>
      </c>
      <c r="C49" t="s">
        <v>101</v>
      </c>
      <c r="D49" s="1">
        <v>42983</v>
      </c>
      <c r="E49" t="s">
        <v>43</v>
      </c>
      <c r="F49" t="s">
        <v>37</v>
      </c>
      <c r="G49" t="s">
        <v>37</v>
      </c>
      <c r="H49" t="s">
        <v>22</v>
      </c>
      <c r="I49" t="s">
        <v>23</v>
      </c>
      <c r="J49">
        <v>0</v>
      </c>
      <c r="K49" t="s">
        <v>43</v>
      </c>
      <c r="L49">
        <v>14</v>
      </c>
      <c r="M49">
        <v>0</v>
      </c>
      <c r="N49" t="s">
        <v>118</v>
      </c>
      <c r="O49" t="s">
        <v>102</v>
      </c>
      <c r="P49" t="s">
        <v>33</v>
      </c>
      <c r="Q49" t="s">
        <v>34</v>
      </c>
      <c r="U49" t="str">
        <f t="shared" si="0"/>
        <v>Batting First Won</v>
      </c>
      <c r="X49" t="str">
        <f t="shared" si="1"/>
        <v>No</v>
      </c>
      <c r="AA49" t="str">
        <f t="shared" si="2"/>
        <v>2017</v>
      </c>
    </row>
    <row r="50" spans="1:27" x14ac:dyDescent="0.35">
      <c r="A50">
        <v>49</v>
      </c>
      <c r="B50" t="s">
        <v>18</v>
      </c>
      <c r="C50" t="s">
        <v>119</v>
      </c>
      <c r="D50" s="1">
        <v>43013</v>
      </c>
      <c r="E50" t="s">
        <v>36</v>
      </c>
      <c r="F50" t="s">
        <v>49</v>
      </c>
      <c r="G50" t="s">
        <v>49</v>
      </c>
      <c r="H50" t="s">
        <v>22</v>
      </c>
      <c r="I50" t="s">
        <v>23</v>
      </c>
      <c r="J50">
        <v>0</v>
      </c>
      <c r="K50" t="s">
        <v>49</v>
      </c>
      <c r="L50">
        <v>0</v>
      </c>
      <c r="M50">
        <v>2</v>
      </c>
      <c r="N50" t="s">
        <v>120</v>
      </c>
      <c r="O50" t="s">
        <v>121</v>
      </c>
      <c r="P50" t="s">
        <v>74</v>
      </c>
      <c r="Q50" t="s">
        <v>46</v>
      </c>
      <c r="U50" t="str">
        <f t="shared" si="0"/>
        <v>Chasing Won</v>
      </c>
      <c r="X50" t="str">
        <f t="shared" si="1"/>
        <v>Yes</v>
      </c>
      <c r="AA50" t="str">
        <f t="shared" si="2"/>
        <v>2017</v>
      </c>
    </row>
    <row r="51" spans="1:27" x14ac:dyDescent="0.35">
      <c r="A51">
        <v>50</v>
      </c>
      <c r="B51" t="s">
        <v>18</v>
      </c>
      <c r="C51" t="s">
        <v>55</v>
      </c>
      <c r="D51" s="1">
        <v>43044</v>
      </c>
      <c r="E51" t="s">
        <v>43</v>
      </c>
      <c r="F51" t="s">
        <v>29</v>
      </c>
      <c r="G51" t="s">
        <v>29</v>
      </c>
      <c r="H51" t="s">
        <v>22</v>
      </c>
      <c r="I51" t="s">
        <v>23</v>
      </c>
      <c r="J51">
        <v>0</v>
      </c>
      <c r="K51" t="s">
        <v>43</v>
      </c>
      <c r="L51">
        <v>7</v>
      </c>
      <c r="M51">
        <v>0</v>
      </c>
      <c r="N51" t="s">
        <v>122</v>
      </c>
      <c r="O51" t="s">
        <v>57</v>
      </c>
      <c r="P51" t="s">
        <v>54</v>
      </c>
      <c r="Q51" t="s">
        <v>33</v>
      </c>
      <c r="U51" t="str">
        <f t="shared" si="0"/>
        <v>Batting First Won</v>
      </c>
      <c r="X51" t="str">
        <f t="shared" si="1"/>
        <v>No</v>
      </c>
      <c r="AA51" t="str">
        <f t="shared" si="2"/>
        <v>2017</v>
      </c>
    </row>
    <row r="52" spans="1:27" x14ac:dyDescent="0.35">
      <c r="A52">
        <v>51</v>
      </c>
      <c r="B52" t="s">
        <v>18</v>
      </c>
      <c r="C52" t="s">
        <v>71</v>
      </c>
      <c r="D52" s="1">
        <v>43074</v>
      </c>
      <c r="E52" t="s">
        <v>49</v>
      </c>
      <c r="F52" t="s">
        <v>30</v>
      </c>
      <c r="G52" t="s">
        <v>49</v>
      </c>
      <c r="H52" t="s">
        <v>50</v>
      </c>
      <c r="I52" t="s">
        <v>23</v>
      </c>
      <c r="J52">
        <v>0</v>
      </c>
      <c r="K52" t="s">
        <v>49</v>
      </c>
      <c r="L52">
        <v>7</v>
      </c>
      <c r="M52">
        <v>0</v>
      </c>
      <c r="N52" t="s">
        <v>123</v>
      </c>
      <c r="O52" t="s">
        <v>73</v>
      </c>
      <c r="P52" t="s">
        <v>67</v>
      </c>
      <c r="Q52" t="s">
        <v>41</v>
      </c>
      <c r="U52" t="str">
        <f t="shared" si="0"/>
        <v>Batting First Won</v>
      </c>
      <c r="X52" t="str">
        <f t="shared" si="1"/>
        <v>Yes</v>
      </c>
      <c r="AA52" t="str">
        <f t="shared" si="2"/>
        <v>2017</v>
      </c>
    </row>
    <row r="53" spans="1:27" x14ac:dyDescent="0.35">
      <c r="A53">
        <v>52</v>
      </c>
      <c r="B53" t="s">
        <v>18</v>
      </c>
      <c r="C53" t="s">
        <v>119</v>
      </c>
      <c r="D53" t="s">
        <v>124</v>
      </c>
      <c r="E53" t="s">
        <v>36</v>
      </c>
      <c r="F53" t="s">
        <v>20</v>
      </c>
      <c r="G53" t="s">
        <v>20</v>
      </c>
      <c r="H53" t="s">
        <v>22</v>
      </c>
      <c r="I53" t="s">
        <v>23</v>
      </c>
      <c r="J53">
        <v>0</v>
      </c>
      <c r="K53" t="s">
        <v>20</v>
      </c>
      <c r="L53">
        <v>0</v>
      </c>
      <c r="M53">
        <v>8</v>
      </c>
      <c r="N53" t="s">
        <v>125</v>
      </c>
      <c r="O53" t="s">
        <v>121</v>
      </c>
      <c r="P53" t="s">
        <v>46</v>
      </c>
      <c r="Q53" t="s">
        <v>40</v>
      </c>
      <c r="U53" t="str">
        <f t="shared" si="0"/>
        <v>Chasing Won</v>
      </c>
      <c r="X53" t="str">
        <f t="shared" si="1"/>
        <v>Yes</v>
      </c>
      <c r="AA53" t="str">
        <f t="shared" si="2"/>
        <v>2017</v>
      </c>
    </row>
    <row r="54" spans="1:27" x14ac:dyDescent="0.35">
      <c r="A54">
        <v>53</v>
      </c>
      <c r="B54" t="s">
        <v>18</v>
      </c>
      <c r="C54" t="s">
        <v>61</v>
      </c>
      <c r="D54" t="s">
        <v>124</v>
      </c>
      <c r="E54" t="s">
        <v>29</v>
      </c>
      <c r="F54" t="s">
        <v>37</v>
      </c>
      <c r="G54" t="s">
        <v>37</v>
      </c>
      <c r="H54" t="s">
        <v>22</v>
      </c>
      <c r="I54" t="s">
        <v>23</v>
      </c>
      <c r="J54">
        <v>0</v>
      </c>
      <c r="K54" t="s">
        <v>29</v>
      </c>
      <c r="L54">
        <v>9</v>
      </c>
      <c r="M54">
        <v>0</v>
      </c>
      <c r="N54" t="s">
        <v>126</v>
      </c>
      <c r="O54" t="s">
        <v>64</v>
      </c>
      <c r="P54" t="s">
        <v>33</v>
      </c>
      <c r="Q54" t="s">
        <v>34</v>
      </c>
      <c r="U54" t="str">
        <f t="shared" si="0"/>
        <v>Batting First Won</v>
      </c>
      <c r="X54" t="str">
        <f t="shared" si="1"/>
        <v>No</v>
      </c>
      <c r="AA54" t="str">
        <f t="shared" si="2"/>
        <v>2017</v>
      </c>
    </row>
    <row r="55" spans="1:27" x14ac:dyDescent="0.35">
      <c r="A55">
        <v>54</v>
      </c>
      <c r="B55" t="s">
        <v>18</v>
      </c>
      <c r="C55" t="s">
        <v>28</v>
      </c>
      <c r="D55" t="s">
        <v>127</v>
      </c>
      <c r="E55" t="s">
        <v>43</v>
      </c>
      <c r="F55" t="s">
        <v>30</v>
      </c>
      <c r="G55" t="s">
        <v>30</v>
      </c>
      <c r="H55" t="s">
        <v>22</v>
      </c>
      <c r="I55" t="s">
        <v>23</v>
      </c>
      <c r="J55">
        <v>0</v>
      </c>
      <c r="K55" t="s">
        <v>30</v>
      </c>
      <c r="L55">
        <v>0</v>
      </c>
      <c r="M55">
        <v>9</v>
      </c>
      <c r="N55" t="s">
        <v>114</v>
      </c>
      <c r="O55" t="s">
        <v>32</v>
      </c>
      <c r="P55" t="s">
        <v>26</v>
      </c>
      <c r="Q55" t="s">
        <v>54</v>
      </c>
      <c r="U55" t="str">
        <f t="shared" si="0"/>
        <v>Chasing Won</v>
      </c>
      <c r="X55" t="str">
        <f t="shared" si="1"/>
        <v>Yes</v>
      </c>
      <c r="AA55" t="str">
        <f t="shared" si="2"/>
        <v>2017</v>
      </c>
    </row>
    <row r="56" spans="1:27" x14ac:dyDescent="0.35">
      <c r="A56">
        <v>55</v>
      </c>
      <c r="B56" t="s">
        <v>18</v>
      </c>
      <c r="C56" t="s">
        <v>71</v>
      </c>
      <c r="D56" t="s">
        <v>127</v>
      </c>
      <c r="E56" t="s">
        <v>21</v>
      </c>
      <c r="F56" t="s">
        <v>49</v>
      </c>
      <c r="G56" t="s">
        <v>21</v>
      </c>
      <c r="H56" t="s">
        <v>50</v>
      </c>
      <c r="I56" t="s">
        <v>23</v>
      </c>
      <c r="J56">
        <v>0</v>
      </c>
      <c r="K56" t="s">
        <v>21</v>
      </c>
      <c r="L56">
        <v>10</v>
      </c>
      <c r="M56">
        <v>0</v>
      </c>
      <c r="N56" t="s">
        <v>128</v>
      </c>
      <c r="O56" t="s">
        <v>73</v>
      </c>
      <c r="P56" t="s">
        <v>41</v>
      </c>
      <c r="Q56" t="s">
        <v>47</v>
      </c>
      <c r="U56" t="str">
        <f t="shared" si="0"/>
        <v>Batting First Won</v>
      </c>
      <c r="X56" t="str">
        <f t="shared" si="1"/>
        <v>Yes</v>
      </c>
      <c r="AA56" t="str">
        <f t="shared" si="2"/>
        <v>2017</v>
      </c>
    </row>
    <row r="57" spans="1:27" x14ac:dyDescent="0.35">
      <c r="A57">
        <v>56</v>
      </c>
      <c r="B57" t="s">
        <v>18</v>
      </c>
      <c r="C57" t="s">
        <v>55</v>
      </c>
      <c r="D57" t="s">
        <v>129</v>
      </c>
      <c r="E57" t="s">
        <v>30</v>
      </c>
      <c r="F57" t="s">
        <v>29</v>
      </c>
      <c r="G57" t="s">
        <v>29</v>
      </c>
      <c r="H57" t="s">
        <v>22</v>
      </c>
      <c r="I57" t="s">
        <v>23</v>
      </c>
      <c r="J57">
        <v>0</v>
      </c>
      <c r="K57" t="s">
        <v>30</v>
      </c>
      <c r="L57">
        <v>20</v>
      </c>
      <c r="M57">
        <v>0</v>
      </c>
      <c r="N57" t="s">
        <v>130</v>
      </c>
      <c r="O57" t="s">
        <v>57</v>
      </c>
      <c r="P57" t="s">
        <v>34</v>
      </c>
      <c r="Q57" t="s">
        <v>47</v>
      </c>
      <c r="U57" t="str">
        <f t="shared" si="0"/>
        <v>Batting First Won</v>
      </c>
      <c r="X57" t="str">
        <f t="shared" si="1"/>
        <v>No</v>
      </c>
      <c r="AA57" t="str">
        <f t="shared" si="2"/>
        <v>2017</v>
      </c>
    </row>
    <row r="58" spans="1:27" x14ac:dyDescent="0.35">
      <c r="A58">
        <v>57</v>
      </c>
      <c r="B58" t="s">
        <v>18</v>
      </c>
      <c r="C58" t="s">
        <v>48</v>
      </c>
      <c r="D58" t="s">
        <v>131</v>
      </c>
      <c r="E58" t="s">
        <v>20</v>
      </c>
      <c r="F58" t="s">
        <v>37</v>
      </c>
      <c r="G58" t="s">
        <v>37</v>
      </c>
      <c r="H58" t="s">
        <v>22</v>
      </c>
      <c r="I58" t="s">
        <v>23</v>
      </c>
      <c r="J58">
        <v>1</v>
      </c>
      <c r="K58" t="s">
        <v>37</v>
      </c>
      <c r="L58">
        <v>0</v>
      </c>
      <c r="M58">
        <v>7</v>
      </c>
      <c r="N58" t="s">
        <v>78</v>
      </c>
      <c r="O58" t="s">
        <v>52</v>
      </c>
      <c r="P58" t="s">
        <v>46</v>
      </c>
      <c r="Q58" t="s">
        <v>40</v>
      </c>
      <c r="U58" t="str">
        <f t="shared" si="0"/>
        <v>Chasing Won</v>
      </c>
      <c r="X58" t="str">
        <f t="shared" si="1"/>
        <v>Yes</v>
      </c>
      <c r="AA58" t="str">
        <f t="shared" si="2"/>
        <v>2017</v>
      </c>
    </row>
    <row r="59" spans="1:27" x14ac:dyDescent="0.35">
      <c r="A59">
        <v>58</v>
      </c>
      <c r="B59" t="s">
        <v>18</v>
      </c>
      <c r="C59" t="s">
        <v>48</v>
      </c>
      <c r="D59" t="s">
        <v>132</v>
      </c>
      <c r="E59" t="s">
        <v>37</v>
      </c>
      <c r="F59" t="s">
        <v>29</v>
      </c>
      <c r="G59" t="s">
        <v>29</v>
      </c>
      <c r="H59" t="s">
        <v>22</v>
      </c>
      <c r="I59" t="s">
        <v>23</v>
      </c>
      <c r="J59">
        <v>0</v>
      </c>
      <c r="K59" t="s">
        <v>29</v>
      </c>
      <c r="L59">
        <v>0</v>
      </c>
      <c r="M59">
        <v>6</v>
      </c>
      <c r="N59" t="s">
        <v>133</v>
      </c>
      <c r="O59" t="s">
        <v>52</v>
      </c>
      <c r="P59" t="s">
        <v>27</v>
      </c>
      <c r="Q59" t="s">
        <v>40</v>
      </c>
      <c r="U59" t="str">
        <f t="shared" si="0"/>
        <v>Chasing Won</v>
      </c>
      <c r="X59" t="str">
        <f t="shared" si="1"/>
        <v>Yes</v>
      </c>
      <c r="AA59" t="str">
        <f t="shared" si="2"/>
        <v>2017</v>
      </c>
    </row>
    <row r="60" spans="1:27" x14ac:dyDescent="0.35">
      <c r="A60">
        <v>59</v>
      </c>
      <c r="B60" t="s">
        <v>18</v>
      </c>
      <c r="C60" t="s">
        <v>19</v>
      </c>
      <c r="D60" t="s">
        <v>134</v>
      </c>
      <c r="E60" t="s">
        <v>29</v>
      </c>
      <c r="F60" t="s">
        <v>30</v>
      </c>
      <c r="G60" t="s">
        <v>29</v>
      </c>
      <c r="H60" t="s">
        <v>50</v>
      </c>
      <c r="I60" t="s">
        <v>23</v>
      </c>
      <c r="J60">
        <v>0</v>
      </c>
      <c r="K60" t="s">
        <v>29</v>
      </c>
      <c r="L60">
        <v>1</v>
      </c>
      <c r="M60">
        <v>0</v>
      </c>
      <c r="N60" t="s">
        <v>106</v>
      </c>
      <c r="O60" t="s">
        <v>25</v>
      </c>
      <c r="P60" t="s">
        <v>27</v>
      </c>
      <c r="Q60" t="s">
        <v>34</v>
      </c>
      <c r="U60" t="str">
        <f t="shared" si="0"/>
        <v>Batting First Won</v>
      </c>
      <c r="X60" t="str">
        <f t="shared" si="1"/>
        <v>Yes</v>
      </c>
      <c r="AA60" t="str">
        <f t="shared" si="2"/>
        <v>2017</v>
      </c>
    </row>
    <row r="61" spans="1:27" x14ac:dyDescent="0.35">
      <c r="A61">
        <v>60</v>
      </c>
      <c r="B61" t="s">
        <v>135</v>
      </c>
      <c r="C61" t="s">
        <v>48</v>
      </c>
      <c r="D61" t="s">
        <v>136</v>
      </c>
      <c r="E61" t="s">
        <v>37</v>
      </c>
      <c r="F61" t="s">
        <v>21</v>
      </c>
      <c r="G61" t="s">
        <v>21</v>
      </c>
      <c r="H61" t="s">
        <v>22</v>
      </c>
      <c r="I61" t="s">
        <v>23</v>
      </c>
      <c r="J61">
        <v>0</v>
      </c>
      <c r="K61" t="s">
        <v>37</v>
      </c>
      <c r="L61">
        <v>140</v>
      </c>
      <c r="M61">
        <v>0</v>
      </c>
      <c r="N61" t="s">
        <v>137</v>
      </c>
      <c r="O61" t="s">
        <v>52</v>
      </c>
      <c r="P61" t="s">
        <v>138</v>
      </c>
      <c r="Q61" t="s">
        <v>139</v>
      </c>
      <c r="U61" t="str">
        <f t="shared" si="0"/>
        <v>Batting First Won</v>
      </c>
      <c r="X61" t="str">
        <f t="shared" si="1"/>
        <v>No</v>
      </c>
      <c r="AA61" t="str">
        <f t="shared" si="2"/>
        <v>2008</v>
      </c>
    </row>
    <row r="62" spans="1:27" x14ac:dyDescent="0.35">
      <c r="A62">
        <v>61</v>
      </c>
      <c r="B62" t="s">
        <v>135</v>
      </c>
      <c r="C62" t="s">
        <v>101</v>
      </c>
      <c r="D62" t="s">
        <v>140</v>
      </c>
      <c r="E62" t="s">
        <v>141</v>
      </c>
      <c r="F62" t="s">
        <v>43</v>
      </c>
      <c r="G62" t="s">
        <v>141</v>
      </c>
      <c r="H62" t="s">
        <v>50</v>
      </c>
      <c r="I62" t="s">
        <v>23</v>
      </c>
      <c r="J62">
        <v>0</v>
      </c>
      <c r="K62" t="s">
        <v>141</v>
      </c>
      <c r="L62">
        <v>33</v>
      </c>
      <c r="M62">
        <v>0</v>
      </c>
      <c r="N62" t="s">
        <v>142</v>
      </c>
      <c r="O62" t="s">
        <v>143</v>
      </c>
      <c r="P62" t="s">
        <v>144</v>
      </c>
      <c r="Q62" t="s">
        <v>145</v>
      </c>
      <c r="U62" t="str">
        <f t="shared" si="0"/>
        <v>Batting First Won</v>
      </c>
      <c r="X62" t="str">
        <f t="shared" si="1"/>
        <v>Yes</v>
      </c>
      <c r="AA62" t="str">
        <f t="shared" si="2"/>
        <v>2008</v>
      </c>
    </row>
    <row r="63" spans="1:27" x14ac:dyDescent="0.35">
      <c r="A63">
        <v>62</v>
      </c>
      <c r="B63" t="s">
        <v>135</v>
      </c>
      <c r="C63" t="s">
        <v>71</v>
      </c>
      <c r="D63" t="s">
        <v>140</v>
      </c>
      <c r="E63" t="s">
        <v>146</v>
      </c>
      <c r="F63" t="s">
        <v>49</v>
      </c>
      <c r="G63" t="s">
        <v>146</v>
      </c>
      <c r="H63" t="s">
        <v>50</v>
      </c>
      <c r="I63" t="s">
        <v>23</v>
      </c>
      <c r="J63">
        <v>0</v>
      </c>
      <c r="K63" t="s">
        <v>49</v>
      </c>
      <c r="L63">
        <v>0</v>
      </c>
      <c r="M63">
        <v>9</v>
      </c>
      <c r="N63" t="s">
        <v>147</v>
      </c>
      <c r="O63" t="s">
        <v>73</v>
      </c>
      <c r="P63" t="s">
        <v>148</v>
      </c>
      <c r="Q63" t="s">
        <v>149</v>
      </c>
      <c r="U63" t="str">
        <f t="shared" si="0"/>
        <v>Chasing Won</v>
      </c>
      <c r="X63" t="str">
        <f t="shared" si="1"/>
        <v>No</v>
      </c>
      <c r="AA63" t="str">
        <f t="shared" si="2"/>
        <v>2008</v>
      </c>
    </row>
    <row r="64" spans="1:27" x14ac:dyDescent="0.35">
      <c r="A64">
        <v>63</v>
      </c>
      <c r="B64" t="s">
        <v>135</v>
      </c>
      <c r="C64" t="s">
        <v>55</v>
      </c>
      <c r="D64" t="s">
        <v>150</v>
      </c>
      <c r="E64" t="s">
        <v>29</v>
      </c>
      <c r="F64" t="s">
        <v>21</v>
      </c>
      <c r="G64" t="s">
        <v>29</v>
      </c>
      <c r="H64" t="s">
        <v>50</v>
      </c>
      <c r="I64" t="s">
        <v>23</v>
      </c>
      <c r="J64">
        <v>0</v>
      </c>
      <c r="K64" t="s">
        <v>21</v>
      </c>
      <c r="L64">
        <v>0</v>
      </c>
      <c r="M64">
        <v>5</v>
      </c>
      <c r="N64" t="s">
        <v>151</v>
      </c>
      <c r="O64" t="s">
        <v>57</v>
      </c>
      <c r="P64" t="s">
        <v>152</v>
      </c>
      <c r="Q64" t="s">
        <v>153</v>
      </c>
      <c r="U64" t="str">
        <f t="shared" si="0"/>
        <v>Chasing Won</v>
      </c>
      <c r="X64" t="str">
        <f t="shared" si="1"/>
        <v>No</v>
      </c>
      <c r="AA64" t="str">
        <f t="shared" si="2"/>
        <v>2008</v>
      </c>
    </row>
    <row r="65" spans="1:27" x14ac:dyDescent="0.35">
      <c r="A65">
        <v>64</v>
      </c>
      <c r="B65" t="s">
        <v>135</v>
      </c>
      <c r="C65" t="s">
        <v>61</v>
      </c>
      <c r="D65" t="s">
        <v>150</v>
      </c>
      <c r="E65" t="s">
        <v>154</v>
      </c>
      <c r="F65" t="s">
        <v>37</v>
      </c>
      <c r="G65" t="s">
        <v>154</v>
      </c>
      <c r="H65" t="s">
        <v>50</v>
      </c>
      <c r="I65" t="s">
        <v>23</v>
      </c>
      <c r="J65">
        <v>0</v>
      </c>
      <c r="K65" t="s">
        <v>37</v>
      </c>
      <c r="L65">
        <v>0</v>
      </c>
      <c r="M65">
        <v>5</v>
      </c>
      <c r="N65" t="s">
        <v>155</v>
      </c>
      <c r="O65" t="s">
        <v>64</v>
      </c>
      <c r="P65" t="s">
        <v>156</v>
      </c>
      <c r="Q65" t="s">
        <v>157</v>
      </c>
      <c r="U65" t="str">
        <f t="shared" si="0"/>
        <v>Chasing Won</v>
      </c>
      <c r="X65" t="str">
        <f t="shared" si="1"/>
        <v>No</v>
      </c>
      <c r="AA65" t="str">
        <f t="shared" si="2"/>
        <v>2008</v>
      </c>
    </row>
    <row r="66" spans="1:27" x14ac:dyDescent="0.35">
      <c r="A66">
        <v>65</v>
      </c>
      <c r="B66" t="s">
        <v>135</v>
      </c>
      <c r="C66" t="s">
        <v>158</v>
      </c>
      <c r="D66" t="s">
        <v>159</v>
      </c>
      <c r="E66" t="s">
        <v>43</v>
      </c>
      <c r="F66" t="s">
        <v>146</v>
      </c>
      <c r="G66" t="s">
        <v>43</v>
      </c>
      <c r="H66" t="s">
        <v>50</v>
      </c>
      <c r="I66" t="s">
        <v>23</v>
      </c>
      <c r="J66">
        <v>0</v>
      </c>
      <c r="K66" t="s">
        <v>146</v>
      </c>
      <c r="L66">
        <v>0</v>
      </c>
      <c r="M66">
        <v>6</v>
      </c>
      <c r="N66" t="s">
        <v>160</v>
      </c>
      <c r="O66" t="s">
        <v>161</v>
      </c>
      <c r="P66" t="s">
        <v>148</v>
      </c>
      <c r="Q66" t="s">
        <v>162</v>
      </c>
      <c r="U66" t="str">
        <f t="shared" si="0"/>
        <v>Chasing Won</v>
      </c>
      <c r="X66" t="str">
        <f t="shared" si="1"/>
        <v>No</v>
      </c>
      <c r="AA66" t="str">
        <f t="shared" si="2"/>
        <v>2008</v>
      </c>
    </row>
    <row r="67" spans="1:27" x14ac:dyDescent="0.35">
      <c r="A67">
        <v>66</v>
      </c>
      <c r="B67" t="s">
        <v>135</v>
      </c>
      <c r="C67" t="s">
        <v>19</v>
      </c>
      <c r="D67" t="s">
        <v>163</v>
      </c>
      <c r="E67" t="s">
        <v>154</v>
      </c>
      <c r="F67" t="s">
        <v>49</v>
      </c>
      <c r="G67" t="s">
        <v>154</v>
      </c>
      <c r="H67" t="s">
        <v>50</v>
      </c>
      <c r="I67" t="s">
        <v>23</v>
      </c>
      <c r="J67">
        <v>0</v>
      </c>
      <c r="K67" t="s">
        <v>49</v>
      </c>
      <c r="L67">
        <v>0</v>
      </c>
      <c r="M67">
        <v>9</v>
      </c>
      <c r="N67" t="s">
        <v>164</v>
      </c>
      <c r="O67" t="s">
        <v>25</v>
      </c>
      <c r="P67" t="s">
        <v>165</v>
      </c>
      <c r="Q67" t="s">
        <v>166</v>
      </c>
      <c r="U67" t="str">
        <f t="shared" ref="U67:U130" si="3">IF(L67&gt;0,"Batting First Won","Chasing Won")</f>
        <v>Chasing Won</v>
      </c>
      <c r="X67" t="str">
        <f t="shared" ref="X67:X130" si="4">IF(G67=K67,"Yes","No")</f>
        <v>No</v>
      </c>
      <c r="AA67" t="str">
        <f t="shared" ref="AA67:AA130" si="5">RIGHT(B67,4)</f>
        <v>2008</v>
      </c>
    </row>
    <row r="68" spans="1:27" x14ac:dyDescent="0.35">
      <c r="A68">
        <v>67</v>
      </c>
      <c r="B68" t="s">
        <v>135</v>
      </c>
      <c r="C68" t="s">
        <v>167</v>
      </c>
      <c r="D68" t="s">
        <v>168</v>
      </c>
      <c r="E68" t="s">
        <v>141</v>
      </c>
      <c r="F68" t="s">
        <v>29</v>
      </c>
      <c r="G68" t="s">
        <v>29</v>
      </c>
      <c r="H68" t="s">
        <v>22</v>
      </c>
      <c r="I68" t="s">
        <v>23</v>
      </c>
      <c r="J68">
        <v>0</v>
      </c>
      <c r="K68" t="s">
        <v>141</v>
      </c>
      <c r="L68">
        <v>6</v>
      </c>
      <c r="M68">
        <v>0</v>
      </c>
      <c r="N68" t="s">
        <v>169</v>
      </c>
      <c r="O68" t="s">
        <v>170</v>
      </c>
      <c r="P68" t="s">
        <v>153</v>
      </c>
      <c r="Q68" t="s">
        <v>149</v>
      </c>
      <c r="U68" t="str">
        <f t="shared" si="3"/>
        <v>Batting First Won</v>
      </c>
      <c r="X68" t="str">
        <f t="shared" si="4"/>
        <v>No</v>
      </c>
      <c r="AA68" t="str">
        <f t="shared" si="5"/>
        <v>2008</v>
      </c>
    </row>
    <row r="69" spans="1:27" x14ac:dyDescent="0.35">
      <c r="A69">
        <v>68</v>
      </c>
      <c r="B69" t="s">
        <v>135</v>
      </c>
      <c r="C69" t="s">
        <v>19</v>
      </c>
      <c r="D69" t="s">
        <v>171</v>
      </c>
      <c r="E69" t="s">
        <v>154</v>
      </c>
      <c r="F69" t="s">
        <v>146</v>
      </c>
      <c r="G69" t="s">
        <v>146</v>
      </c>
      <c r="H69" t="s">
        <v>22</v>
      </c>
      <c r="I69" t="s">
        <v>23</v>
      </c>
      <c r="J69">
        <v>0</v>
      </c>
      <c r="K69" t="s">
        <v>146</v>
      </c>
      <c r="L69">
        <v>0</v>
      </c>
      <c r="M69">
        <v>3</v>
      </c>
      <c r="N69" t="s">
        <v>172</v>
      </c>
      <c r="O69" t="s">
        <v>25</v>
      </c>
      <c r="P69" t="s">
        <v>138</v>
      </c>
      <c r="Q69" t="s">
        <v>144</v>
      </c>
      <c r="U69" t="str">
        <f t="shared" si="3"/>
        <v>Chasing Won</v>
      </c>
      <c r="X69" t="str">
        <f t="shared" si="4"/>
        <v>Yes</v>
      </c>
      <c r="AA69" t="str">
        <f t="shared" si="5"/>
        <v>2008</v>
      </c>
    </row>
    <row r="70" spans="1:27" x14ac:dyDescent="0.35">
      <c r="A70">
        <v>69</v>
      </c>
      <c r="B70" t="s">
        <v>135</v>
      </c>
      <c r="C70" t="s">
        <v>101</v>
      </c>
      <c r="D70" t="s">
        <v>173</v>
      </c>
      <c r="E70" t="s">
        <v>43</v>
      </c>
      <c r="F70" t="s">
        <v>29</v>
      </c>
      <c r="G70" t="s">
        <v>29</v>
      </c>
      <c r="H70" t="s">
        <v>22</v>
      </c>
      <c r="I70" t="s">
        <v>23</v>
      </c>
      <c r="J70">
        <v>0</v>
      </c>
      <c r="K70" t="s">
        <v>43</v>
      </c>
      <c r="L70">
        <v>66</v>
      </c>
      <c r="M70">
        <v>0</v>
      </c>
      <c r="N70" t="s">
        <v>174</v>
      </c>
      <c r="O70" t="s">
        <v>143</v>
      </c>
      <c r="P70" t="s">
        <v>148</v>
      </c>
      <c r="Q70" t="s">
        <v>166</v>
      </c>
      <c r="U70" t="str">
        <f t="shared" si="3"/>
        <v>Batting First Won</v>
      </c>
      <c r="X70" t="str">
        <f t="shared" si="4"/>
        <v>No</v>
      </c>
      <c r="AA70" t="str">
        <f t="shared" si="5"/>
        <v>2008</v>
      </c>
    </row>
    <row r="71" spans="1:27" x14ac:dyDescent="0.35">
      <c r="A71">
        <v>70</v>
      </c>
      <c r="B71" t="s">
        <v>135</v>
      </c>
      <c r="C71" t="s">
        <v>48</v>
      </c>
      <c r="D71" t="s">
        <v>175</v>
      </c>
      <c r="E71" t="s">
        <v>21</v>
      </c>
      <c r="F71" t="s">
        <v>146</v>
      </c>
      <c r="G71" t="s">
        <v>146</v>
      </c>
      <c r="H71" t="s">
        <v>22</v>
      </c>
      <c r="I71" t="s">
        <v>23</v>
      </c>
      <c r="J71">
        <v>0</v>
      </c>
      <c r="K71" t="s">
        <v>146</v>
      </c>
      <c r="L71">
        <v>0</v>
      </c>
      <c r="M71">
        <v>7</v>
      </c>
      <c r="N71" t="s">
        <v>160</v>
      </c>
      <c r="O71" t="s">
        <v>52</v>
      </c>
      <c r="P71" t="s">
        <v>144</v>
      </c>
      <c r="Q71" t="s">
        <v>165</v>
      </c>
      <c r="U71" t="str">
        <f t="shared" si="3"/>
        <v>Chasing Won</v>
      </c>
      <c r="X71" t="str">
        <f t="shared" si="4"/>
        <v>Yes</v>
      </c>
      <c r="AA71" t="str">
        <f t="shared" si="5"/>
        <v>2008</v>
      </c>
    </row>
    <row r="72" spans="1:27" x14ac:dyDescent="0.35">
      <c r="A72">
        <v>71</v>
      </c>
      <c r="B72" t="s">
        <v>135</v>
      </c>
      <c r="C72" t="s">
        <v>167</v>
      </c>
      <c r="D72" t="s">
        <v>175</v>
      </c>
      <c r="E72" t="s">
        <v>37</v>
      </c>
      <c r="F72" t="s">
        <v>141</v>
      </c>
      <c r="G72" t="s">
        <v>37</v>
      </c>
      <c r="H72" t="s">
        <v>50</v>
      </c>
      <c r="I72" t="s">
        <v>23</v>
      </c>
      <c r="J72">
        <v>0</v>
      </c>
      <c r="K72" t="s">
        <v>141</v>
      </c>
      <c r="L72">
        <v>0</v>
      </c>
      <c r="M72">
        <v>9</v>
      </c>
      <c r="N72" t="s">
        <v>176</v>
      </c>
      <c r="O72" t="s">
        <v>170</v>
      </c>
      <c r="P72" t="s">
        <v>156</v>
      </c>
      <c r="Q72" t="s">
        <v>177</v>
      </c>
      <c r="U72" t="str">
        <f t="shared" si="3"/>
        <v>Chasing Won</v>
      </c>
      <c r="X72" t="str">
        <f t="shared" si="4"/>
        <v>No</v>
      </c>
      <c r="AA72" t="str">
        <f t="shared" si="5"/>
        <v>2008</v>
      </c>
    </row>
    <row r="73" spans="1:27" x14ac:dyDescent="0.35">
      <c r="A73">
        <v>72</v>
      </c>
      <c r="B73" t="s">
        <v>135</v>
      </c>
      <c r="C73" t="s">
        <v>55</v>
      </c>
      <c r="D73" t="s">
        <v>178</v>
      </c>
      <c r="E73" t="s">
        <v>29</v>
      </c>
      <c r="F73" t="s">
        <v>154</v>
      </c>
      <c r="G73" t="s">
        <v>154</v>
      </c>
      <c r="H73" t="s">
        <v>22</v>
      </c>
      <c r="I73" t="s">
        <v>23</v>
      </c>
      <c r="J73">
        <v>0</v>
      </c>
      <c r="K73" t="s">
        <v>154</v>
      </c>
      <c r="L73">
        <v>0</v>
      </c>
      <c r="M73">
        <v>10</v>
      </c>
      <c r="N73" t="s">
        <v>179</v>
      </c>
      <c r="O73" t="s">
        <v>180</v>
      </c>
      <c r="P73" t="s">
        <v>138</v>
      </c>
      <c r="Q73" t="s">
        <v>145</v>
      </c>
      <c r="U73" t="str">
        <f t="shared" si="3"/>
        <v>Chasing Won</v>
      </c>
      <c r="X73" t="str">
        <f t="shared" si="4"/>
        <v>Yes</v>
      </c>
      <c r="AA73" t="str">
        <f t="shared" si="5"/>
        <v>2008</v>
      </c>
    </row>
    <row r="74" spans="1:27" x14ac:dyDescent="0.35">
      <c r="A74">
        <v>73</v>
      </c>
      <c r="B74" t="s">
        <v>135</v>
      </c>
      <c r="C74" t="s">
        <v>101</v>
      </c>
      <c r="D74" t="s">
        <v>178</v>
      </c>
      <c r="E74" t="s">
        <v>49</v>
      </c>
      <c r="F74" t="s">
        <v>43</v>
      </c>
      <c r="G74" t="s">
        <v>49</v>
      </c>
      <c r="H74" t="s">
        <v>50</v>
      </c>
      <c r="I74" t="s">
        <v>23</v>
      </c>
      <c r="J74">
        <v>0</v>
      </c>
      <c r="K74" t="s">
        <v>43</v>
      </c>
      <c r="L74">
        <v>0</v>
      </c>
      <c r="M74">
        <v>4</v>
      </c>
      <c r="N74" t="s">
        <v>181</v>
      </c>
      <c r="O74" t="s">
        <v>143</v>
      </c>
      <c r="P74" t="s">
        <v>139</v>
      </c>
      <c r="Q74" t="s">
        <v>182</v>
      </c>
      <c r="U74" t="str">
        <f t="shared" si="3"/>
        <v>Chasing Won</v>
      </c>
      <c r="X74" t="str">
        <f t="shared" si="4"/>
        <v>No</v>
      </c>
      <c r="AA74" t="str">
        <f t="shared" si="5"/>
        <v>2008</v>
      </c>
    </row>
    <row r="75" spans="1:27" x14ac:dyDescent="0.35">
      <c r="A75">
        <v>74</v>
      </c>
      <c r="B75" t="s">
        <v>135</v>
      </c>
      <c r="C75" t="s">
        <v>48</v>
      </c>
      <c r="D75" t="s">
        <v>183</v>
      </c>
      <c r="E75" t="s">
        <v>141</v>
      </c>
      <c r="F75" t="s">
        <v>21</v>
      </c>
      <c r="G75" t="s">
        <v>141</v>
      </c>
      <c r="H75" t="s">
        <v>50</v>
      </c>
      <c r="I75" t="s">
        <v>23</v>
      </c>
      <c r="J75">
        <v>0</v>
      </c>
      <c r="K75" t="s">
        <v>141</v>
      </c>
      <c r="L75">
        <v>13</v>
      </c>
      <c r="M75">
        <v>0</v>
      </c>
      <c r="N75" t="s">
        <v>93</v>
      </c>
      <c r="O75" t="s">
        <v>52</v>
      </c>
      <c r="P75" t="s">
        <v>184</v>
      </c>
      <c r="Q75" t="s">
        <v>162</v>
      </c>
      <c r="U75" t="str">
        <f t="shared" si="3"/>
        <v>Batting First Won</v>
      </c>
      <c r="X75" t="str">
        <f t="shared" si="4"/>
        <v>Yes</v>
      </c>
      <c r="AA75" t="str">
        <f t="shared" si="5"/>
        <v>2008</v>
      </c>
    </row>
    <row r="76" spans="1:27" x14ac:dyDescent="0.35">
      <c r="A76">
        <v>75</v>
      </c>
      <c r="B76" t="s">
        <v>135</v>
      </c>
      <c r="C76" t="s">
        <v>61</v>
      </c>
      <c r="D76" t="s">
        <v>185</v>
      </c>
      <c r="E76" t="s">
        <v>37</v>
      </c>
      <c r="F76" t="s">
        <v>29</v>
      </c>
      <c r="G76" t="s">
        <v>37</v>
      </c>
      <c r="H76" t="s">
        <v>50</v>
      </c>
      <c r="I76" t="s">
        <v>23</v>
      </c>
      <c r="J76">
        <v>0</v>
      </c>
      <c r="K76" t="s">
        <v>29</v>
      </c>
      <c r="L76">
        <v>0</v>
      </c>
      <c r="M76">
        <v>7</v>
      </c>
      <c r="N76" t="s">
        <v>186</v>
      </c>
      <c r="O76" t="s">
        <v>64</v>
      </c>
      <c r="P76" t="s">
        <v>156</v>
      </c>
      <c r="Q76" t="s">
        <v>177</v>
      </c>
      <c r="U76" t="str">
        <f t="shared" si="3"/>
        <v>Chasing Won</v>
      </c>
      <c r="X76" t="str">
        <f t="shared" si="4"/>
        <v>No</v>
      </c>
      <c r="AA76" t="str">
        <f t="shared" si="5"/>
        <v>2008</v>
      </c>
    </row>
    <row r="77" spans="1:27" x14ac:dyDescent="0.35">
      <c r="A77">
        <v>76</v>
      </c>
      <c r="B77" t="s">
        <v>135</v>
      </c>
      <c r="C77" t="s">
        <v>71</v>
      </c>
      <c r="D77" t="s">
        <v>187</v>
      </c>
      <c r="E77" t="s">
        <v>49</v>
      </c>
      <c r="F77" t="s">
        <v>21</v>
      </c>
      <c r="G77" t="s">
        <v>21</v>
      </c>
      <c r="H77" t="s">
        <v>22</v>
      </c>
      <c r="I77" t="s">
        <v>23</v>
      </c>
      <c r="J77">
        <v>0</v>
      </c>
      <c r="K77" t="s">
        <v>49</v>
      </c>
      <c r="L77">
        <v>10</v>
      </c>
      <c r="M77">
        <v>0</v>
      </c>
      <c r="N77" t="s">
        <v>188</v>
      </c>
      <c r="O77" t="s">
        <v>73</v>
      </c>
      <c r="P77" t="s">
        <v>148</v>
      </c>
      <c r="Q77" t="s">
        <v>182</v>
      </c>
      <c r="U77" t="str">
        <f t="shared" si="3"/>
        <v>Batting First Won</v>
      </c>
      <c r="X77" t="str">
        <f t="shared" si="4"/>
        <v>No</v>
      </c>
      <c r="AA77" t="str">
        <f t="shared" si="5"/>
        <v>2008</v>
      </c>
    </row>
    <row r="78" spans="1:27" x14ac:dyDescent="0.35">
      <c r="A78">
        <v>77</v>
      </c>
      <c r="B78" t="s">
        <v>135</v>
      </c>
      <c r="C78" t="s">
        <v>19</v>
      </c>
      <c r="D78" s="1">
        <v>39452</v>
      </c>
      <c r="E78" t="s">
        <v>154</v>
      </c>
      <c r="F78" t="s">
        <v>43</v>
      </c>
      <c r="G78" t="s">
        <v>43</v>
      </c>
      <c r="H78" t="s">
        <v>22</v>
      </c>
      <c r="I78" t="s">
        <v>23</v>
      </c>
      <c r="J78">
        <v>0</v>
      </c>
      <c r="K78" t="s">
        <v>43</v>
      </c>
      <c r="L78">
        <v>0</v>
      </c>
      <c r="M78">
        <v>7</v>
      </c>
      <c r="N78" t="s">
        <v>189</v>
      </c>
      <c r="O78" t="s">
        <v>25</v>
      </c>
      <c r="P78" t="s">
        <v>184</v>
      </c>
      <c r="Q78" t="s">
        <v>162</v>
      </c>
      <c r="U78" t="str">
        <f t="shared" si="3"/>
        <v>Chasing Won</v>
      </c>
      <c r="X78" t="str">
        <f t="shared" si="4"/>
        <v>Yes</v>
      </c>
      <c r="AA78" t="str">
        <f t="shared" si="5"/>
        <v>2008</v>
      </c>
    </row>
    <row r="79" spans="1:27" x14ac:dyDescent="0.35">
      <c r="A79">
        <v>78</v>
      </c>
      <c r="B79" t="s">
        <v>135</v>
      </c>
      <c r="C79" t="s">
        <v>158</v>
      </c>
      <c r="D79" s="1">
        <v>39452</v>
      </c>
      <c r="E79" t="s">
        <v>146</v>
      </c>
      <c r="F79" t="s">
        <v>37</v>
      </c>
      <c r="G79" t="s">
        <v>146</v>
      </c>
      <c r="H79" t="s">
        <v>50</v>
      </c>
      <c r="I79" t="s">
        <v>23</v>
      </c>
      <c r="J79">
        <v>0</v>
      </c>
      <c r="K79" t="s">
        <v>146</v>
      </c>
      <c r="L79">
        <v>45</v>
      </c>
      <c r="M79">
        <v>0</v>
      </c>
      <c r="N79" t="s">
        <v>190</v>
      </c>
      <c r="O79" t="s">
        <v>161</v>
      </c>
      <c r="P79" t="s">
        <v>139</v>
      </c>
      <c r="Q79" t="s">
        <v>149</v>
      </c>
      <c r="U79" t="str">
        <f t="shared" si="3"/>
        <v>Batting First Won</v>
      </c>
      <c r="X79" t="str">
        <f t="shared" si="4"/>
        <v>Yes</v>
      </c>
      <c r="AA79" t="str">
        <f t="shared" si="5"/>
        <v>2008</v>
      </c>
    </row>
    <row r="80" spans="1:27" x14ac:dyDescent="0.35">
      <c r="A80">
        <v>79</v>
      </c>
      <c r="B80" t="s">
        <v>135</v>
      </c>
      <c r="C80" t="s">
        <v>167</v>
      </c>
      <c r="D80" s="1">
        <v>39483</v>
      </c>
      <c r="E80" t="s">
        <v>141</v>
      </c>
      <c r="F80" t="s">
        <v>49</v>
      </c>
      <c r="G80" t="s">
        <v>141</v>
      </c>
      <c r="H80" t="s">
        <v>50</v>
      </c>
      <c r="I80" t="s">
        <v>23</v>
      </c>
      <c r="J80">
        <v>0</v>
      </c>
      <c r="K80" t="s">
        <v>49</v>
      </c>
      <c r="L80">
        <v>0</v>
      </c>
      <c r="M80">
        <v>8</v>
      </c>
      <c r="N80" t="s">
        <v>164</v>
      </c>
      <c r="O80" t="s">
        <v>170</v>
      </c>
      <c r="P80" t="s">
        <v>156</v>
      </c>
      <c r="Q80" t="s">
        <v>157</v>
      </c>
      <c r="U80" t="str">
        <f t="shared" si="3"/>
        <v>Chasing Won</v>
      </c>
      <c r="X80" t="str">
        <f t="shared" si="4"/>
        <v>No</v>
      </c>
      <c r="AA80" t="str">
        <f t="shared" si="5"/>
        <v>2008</v>
      </c>
    </row>
    <row r="81" spans="1:27" x14ac:dyDescent="0.35">
      <c r="A81">
        <v>80</v>
      </c>
      <c r="B81" t="s">
        <v>135</v>
      </c>
      <c r="C81" t="s">
        <v>19</v>
      </c>
      <c r="D81" t="s">
        <v>191</v>
      </c>
      <c r="E81" t="s">
        <v>154</v>
      </c>
      <c r="F81" t="s">
        <v>21</v>
      </c>
      <c r="G81" t="s">
        <v>154</v>
      </c>
      <c r="H81" t="s">
        <v>50</v>
      </c>
      <c r="I81" t="s">
        <v>23</v>
      </c>
      <c r="J81">
        <v>0</v>
      </c>
      <c r="K81" t="s">
        <v>21</v>
      </c>
      <c r="L81">
        <v>0</v>
      </c>
      <c r="M81">
        <v>5</v>
      </c>
      <c r="N81" t="s">
        <v>192</v>
      </c>
      <c r="O81" t="s">
        <v>25</v>
      </c>
      <c r="P81" t="s">
        <v>138</v>
      </c>
      <c r="Q81" t="s">
        <v>139</v>
      </c>
      <c r="U81" t="str">
        <f t="shared" si="3"/>
        <v>Chasing Won</v>
      </c>
      <c r="X81" t="str">
        <f t="shared" si="4"/>
        <v>No</v>
      </c>
      <c r="AA81" t="str">
        <f t="shared" si="5"/>
        <v>2008</v>
      </c>
    </row>
    <row r="82" spans="1:27" x14ac:dyDescent="0.35">
      <c r="A82">
        <v>81</v>
      </c>
      <c r="B82" t="s">
        <v>135</v>
      </c>
      <c r="C82" t="s">
        <v>101</v>
      </c>
      <c r="D82" s="1">
        <v>39512</v>
      </c>
      <c r="E82" t="s">
        <v>43</v>
      </c>
      <c r="F82" t="s">
        <v>37</v>
      </c>
      <c r="G82" t="s">
        <v>43</v>
      </c>
      <c r="H82" t="s">
        <v>50</v>
      </c>
      <c r="I82" t="s">
        <v>23</v>
      </c>
      <c r="J82">
        <v>0</v>
      </c>
      <c r="K82" t="s">
        <v>43</v>
      </c>
      <c r="L82">
        <v>9</v>
      </c>
      <c r="M82">
        <v>0</v>
      </c>
      <c r="N82" t="s">
        <v>193</v>
      </c>
      <c r="O82" t="s">
        <v>143</v>
      </c>
      <c r="P82" t="s">
        <v>153</v>
      </c>
      <c r="Q82" t="s">
        <v>182</v>
      </c>
      <c r="U82" t="str">
        <f t="shared" si="3"/>
        <v>Batting First Won</v>
      </c>
      <c r="X82" t="str">
        <f t="shared" si="4"/>
        <v>Yes</v>
      </c>
      <c r="AA82" t="str">
        <f t="shared" si="5"/>
        <v>2008</v>
      </c>
    </row>
    <row r="83" spans="1:27" x14ac:dyDescent="0.35">
      <c r="A83">
        <v>82</v>
      </c>
      <c r="B83" t="s">
        <v>135</v>
      </c>
      <c r="C83" t="s">
        <v>55</v>
      </c>
      <c r="D83" s="1">
        <v>39543</v>
      </c>
      <c r="E83" t="s">
        <v>29</v>
      </c>
      <c r="F83" t="s">
        <v>49</v>
      </c>
      <c r="G83" t="s">
        <v>49</v>
      </c>
      <c r="H83" t="s">
        <v>22</v>
      </c>
      <c r="I83" t="s">
        <v>23</v>
      </c>
      <c r="J83">
        <v>0</v>
      </c>
      <c r="K83" t="s">
        <v>29</v>
      </c>
      <c r="L83">
        <v>29</v>
      </c>
      <c r="M83">
        <v>0</v>
      </c>
      <c r="N83" t="s">
        <v>194</v>
      </c>
      <c r="O83" t="s">
        <v>180</v>
      </c>
      <c r="P83" t="s">
        <v>165</v>
      </c>
      <c r="Q83" t="s">
        <v>139</v>
      </c>
      <c r="U83" t="str">
        <f t="shared" si="3"/>
        <v>Batting First Won</v>
      </c>
      <c r="X83" t="str">
        <f t="shared" si="4"/>
        <v>No</v>
      </c>
      <c r="AA83" t="str">
        <f t="shared" si="5"/>
        <v>2008</v>
      </c>
    </row>
    <row r="84" spans="1:27" x14ac:dyDescent="0.35">
      <c r="A84">
        <v>83</v>
      </c>
      <c r="B84" t="s">
        <v>135</v>
      </c>
      <c r="C84" t="s">
        <v>158</v>
      </c>
      <c r="D84" s="1">
        <v>39543</v>
      </c>
      <c r="E84" t="s">
        <v>141</v>
      </c>
      <c r="F84" t="s">
        <v>146</v>
      </c>
      <c r="G84" t="s">
        <v>141</v>
      </c>
      <c r="H84" t="s">
        <v>50</v>
      </c>
      <c r="I84" t="s">
        <v>23</v>
      </c>
      <c r="J84">
        <v>0</v>
      </c>
      <c r="K84" t="s">
        <v>146</v>
      </c>
      <c r="L84">
        <v>0</v>
      </c>
      <c r="M84">
        <v>8</v>
      </c>
      <c r="N84" t="s">
        <v>195</v>
      </c>
      <c r="O84" t="s">
        <v>161</v>
      </c>
      <c r="P84" t="s">
        <v>138</v>
      </c>
      <c r="Q84" t="s">
        <v>177</v>
      </c>
      <c r="U84" t="str">
        <f t="shared" si="3"/>
        <v>Chasing Won</v>
      </c>
      <c r="X84" t="str">
        <f t="shared" si="4"/>
        <v>No</v>
      </c>
      <c r="AA84" t="str">
        <f t="shared" si="5"/>
        <v>2008</v>
      </c>
    </row>
    <row r="85" spans="1:27" x14ac:dyDescent="0.35">
      <c r="A85">
        <v>84</v>
      </c>
      <c r="B85" t="s">
        <v>135</v>
      </c>
      <c r="C85" t="s">
        <v>48</v>
      </c>
      <c r="D85" s="1">
        <v>39573</v>
      </c>
      <c r="E85" t="s">
        <v>21</v>
      </c>
      <c r="F85" t="s">
        <v>43</v>
      </c>
      <c r="G85" t="s">
        <v>43</v>
      </c>
      <c r="H85" t="s">
        <v>22</v>
      </c>
      <c r="I85" t="s">
        <v>23</v>
      </c>
      <c r="J85">
        <v>0</v>
      </c>
      <c r="K85" t="s">
        <v>43</v>
      </c>
      <c r="L85">
        <v>0</v>
      </c>
      <c r="M85">
        <v>6</v>
      </c>
      <c r="N85" t="s">
        <v>196</v>
      </c>
      <c r="O85" t="s">
        <v>52</v>
      </c>
      <c r="P85" t="s">
        <v>152</v>
      </c>
      <c r="Q85" t="s">
        <v>184</v>
      </c>
      <c r="U85" t="str">
        <f t="shared" si="3"/>
        <v>Chasing Won</v>
      </c>
      <c r="X85" t="str">
        <f t="shared" si="4"/>
        <v>Yes</v>
      </c>
      <c r="AA85" t="str">
        <f t="shared" si="5"/>
        <v>2008</v>
      </c>
    </row>
    <row r="86" spans="1:27" x14ac:dyDescent="0.35">
      <c r="A86">
        <v>85</v>
      </c>
      <c r="B86" t="s">
        <v>135</v>
      </c>
      <c r="C86" t="s">
        <v>167</v>
      </c>
      <c r="D86" s="1">
        <v>39604</v>
      </c>
      <c r="E86" t="s">
        <v>141</v>
      </c>
      <c r="F86" t="s">
        <v>154</v>
      </c>
      <c r="G86" t="s">
        <v>154</v>
      </c>
      <c r="H86" t="s">
        <v>22</v>
      </c>
      <c r="I86" t="s">
        <v>23</v>
      </c>
      <c r="J86">
        <v>0</v>
      </c>
      <c r="K86" t="s">
        <v>154</v>
      </c>
      <c r="L86">
        <v>0</v>
      </c>
      <c r="M86">
        <v>7</v>
      </c>
      <c r="N86" t="s">
        <v>179</v>
      </c>
      <c r="O86" t="s">
        <v>170</v>
      </c>
      <c r="P86" t="s">
        <v>144</v>
      </c>
      <c r="Q86" t="s">
        <v>162</v>
      </c>
      <c r="U86" t="str">
        <f t="shared" si="3"/>
        <v>Chasing Won</v>
      </c>
      <c r="X86" t="str">
        <f t="shared" si="4"/>
        <v>Yes</v>
      </c>
      <c r="AA86" t="str">
        <f t="shared" si="5"/>
        <v>2008</v>
      </c>
    </row>
    <row r="87" spans="1:27" x14ac:dyDescent="0.35">
      <c r="A87">
        <v>86</v>
      </c>
      <c r="B87" t="s">
        <v>135</v>
      </c>
      <c r="C87" t="s">
        <v>55</v>
      </c>
      <c r="D87" s="1">
        <v>39634</v>
      </c>
      <c r="E87" t="s">
        <v>146</v>
      </c>
      <c r="F87" t="s">
        <v>29</v>
      </c>
      <c r="G87" t="s">
        <v>29</v>
      </c>
      <c r="H87" t="s">
        <v>22</v>
      </c>
      <c r="I87" t="s">
        <v>23</v>
      </c>
      <c r="J87">
        <v>0</v>
      </c>
      <c r="K87" t="s">
        <v>29</v>
      </c>
      <c r="L87">
        <v>0</v>
      </c>
      <c r="M87">
        <v>7</v>
      </c>
      <c r="N87" t="s">
        <v>197</v>
      </c>
      <c r="O87" t="s">
        <v>180</v>
      </c>
      <c r="P87" t="s">
        <v>153</v>
      </c>
      <c r="Q87" t="s">
        <v>139</v>
      </c>
      <c r="U87" t="str">
        <f t="shared" si="3"/>
        <v>Chasing Won</v>
      </c>
      <c r="X87" t="str">
        <f t="shared" si="4"/>
        <v>Yes</v>
      </c>
      <c r="AA87" t="str">
        <f t="shared" si="5"/>
        <v>2008</v>
      </c>
    </row>
    <row r="88" spans="1:27" x14ac:dyDescent="0.35">
      <c r="A88">
        <v>87</v>
      </c>
      <c r="B88" t="s">
        <v>135</v>
      </c>
      <c r="C88" t="s">
        <v>71</v>
      </c>
      <c r="D88" s="1">
        <v>39665</v>
      </c>
      <c r="E88" t="s">
        <v>49</v>
      </c>
      <c r="F88" t="s">
        <v>141</v>
      </c>
      <c r="G88" t="s">
        <v>141</v>
      </c>
      <c r="H88" t="s">
        <v>22</v>
      </c>
      <c r="I88" t="s">
        <v>23</v>
      </c>
      <c r="J88">
        <v>0</v>
      </c>
      <c r="K88" t="s">
        <v>141</v>
      </c>
      <c r="L88">
        <v>0</v>
      </c>
      <c r="M88">
        <v>4</v>
      </c>
      <c r="N88" t="s">
        <v>93</v>
      </c>
      <c r="O88" t="s">
        <v>73</v>
      </c>
      <c r="P88" t="s">
        <v>148</v>
      </c>
      <c r="Q88" t="s">
        <v>162</v>
      </c>
      <c r="U88" t="str">
        <f t="shared" si="3"/>
        <v>Chasing Won</v>
      </c>
      <c r="X88" t="str">
        <f t="shared" si="4"/>
        <v>Yes</v>
      </c>
      <c r="AA88" t="str">
        <f t="shared" si="5"/>
        <v>2008</v>
      </c>
    </row>
    <row r="89" spans="1:27" x14ac:dyDescent="0.35">
      <c r="A89">
        <v>88</v>
      </c>
      <c r="B89" t="s">
        <v>135</v>
      </c>
      <c r="C89" t="s">
        <v>61</v>
      </c>
      <c r="D89" s="1">
        <v>39665</v>
      </c>
      <c r="E89" t="s">
        <v>37</v>
      </c>
      <c r="F89" t="s">
        <v>21</v>
      </c>
      <c r="G89" t="s">
        <v>37</v>
      </c>
      <c r="H89" t="s">
        <v>50</v>
      </c>
      <c r="I89" t="s">
        <v>23</v>
      </c>
      <c r="J89">
        <v>0</v>
      </c>
      <c r="K89" t="s">
        <v>37</v>
      </c>
      <c r="L89">
        <v>5</v>
      </c>
      <c r="M89">
        <v>0</v>
      </c>
      <c r="N89" t="s">
        <v>198</v>
      </c>
      <c r="O89" t="s">
        <v>64</v>
      </c>
      <c r="P89" t="s">
        <v>138</v>
      </c>
      <c r="Q89" t="s">
        <v>165</v>
      </c>
      <c r="U89" t="str">
        <f t="shared" si="3"/>
        <v>Batting First Won</v>
      </c>
      <c r="X89" t="str">
        <f t="shared" si="4"/>
        <v>Yes</v>
      </c>
      <c r="AA89" t="str">
        <f t="shared" si="5"/>
        <v>2008</v>
      </c>
    </row>
    <row r="90" spans="1:27" x14ac:dyDescent="0.35">
      <c r="A90">
        <v>89</v>
      </c>
      <c r="B90" t="s">
        <v>135</v>
      </c>
      <c r="C90" t="s">
        <v>158</v>
      </c>
      <c r="D90" s="1">
        <v>39696</v>
      </c>
      <c r="E90" t="s">
        <v>154</v>
      </c>
      <c r="F90" t="s">
        <v>146</v>
      </c>
      <c r="G90" t="s">
        <v>146</v>
      </c>
      <c r="H90" t="s">
        <v>22</v>
      </c>
      <c r="I90" t="s">
        <v>23</v>
      </c>
      <c r="J90">
        <v>0</v>
      </c>
      <c r="K90" t="s">
        <v>146</v>
      </c>
      <c r="L90">
        <v>0</v>
      </c>
      <c r="M90">
        <v>8</v>
      </c>
      <c r="N90" t="s">
        <v>172</v>
      </c>
      <c r="O90" t="s">
        <v>161</v>
      </c>
      <c r="P90" t="s">
        <v>144</v>
      </c>
      <c r="Q90" t="s">
        <v>166</v>
      </c>
      <c r="U90" t="str">
        <f t="shared" si="3"/>
        <v>Chasing Won</v>
      </c>
      <c r="X90" t="str">
        <f t="shared" si="4"/>
        <v>Yes</v>
      </c>
      <c r="AA90" t="str">
        <f t="shared" si="5"/>
        <v>2008</v>
      </c>
    </row>
    <row r="91" spans="1:27" x14ac:dyDescent="0.35">
      <c r="A91">
        <v>90</v>
      </c>
      <c r="B91" t="s">
        <v>135</v>
      </c>
      <c r="C91" t="s">
        <v>48</v>
      </c>
      <c r="D91" t="s">
        <v>199</v>
      </c>
      <c r="E91" t="s">
        <v>21</v>
      </c>
      <c r="F91" t="s">
        <v>29</v>
      </c>
      <c r="G91" t="s">
        <v>29</v>
      </c>
      <c r="H91" t="s">
        <v>22</v>
      </c>
      <c r="I91" t="s">
        <v>23</v>
      </c>
      <c r="J91">
        <v>0</v>
      </c>
      <c r="K91" t="s">
        <v>29</v>
      </c>
      <c r="L91">
        <v>0</v>
      </c>
      <c r="M91">
        <v>9</v>
      </c>
      <c r="N91" t="s">
        <v>200</v>
      </c>
      <c r="O91" t="s">
        <v>52</v>
      </c>
      <c r="P91" t="s">
        <v>156</v>
      </c>
      <c r="Q91" t="s">
        <v>177</v>
      </c>
      <c r="U91" t="str">
        <f t="shared" si="3"/>
        <v>Chasing Won</v>
      </c>
      <c r="X91" t="str">
        <f t="shared" si="4"/>
        <v>Yes</v>
      </c>
      <c r="AA91" t="str">
        <f t="shared" si="5"/>
        <v>2008</v>
      </c>
    </row>
    <row r="92" spans="1:27" x14ac:dyDescent="0.35">
      <c r="A92">
        <v>91</v>
      </c>
      <c r="B92" t="s">
        <v>135</v>
      </c>
      <c r="C92" t="s">
        <v>167</v>
      </c>
      <c r="D92" s="1">
        <v>39726</v>
      </c>
      <c r="E92" t="s">
        <v>141</v>
      </c>
      <c r="F92" t="s">
        <v>43</v>
      </c>
      <c r="G92" t="s">
        <v>43</v>
      </c>
      <c r="H92" t="s">
        <v>22</v>
      </c>
      <c r="I92" t="s">
        <v>23</v>
      </c>
      <c r="J92">
        <v>0</v>
      </c>
      <c r="K92" t="s">
        <v>141</v>
      </c>
      <c r="L92">
        <v>18</v>
      </c>
      <c r="M92">
        <v>0</v>
      </c>
      <c r="N92" t="s">
        <v>201</v>
      </c>
      <c r="O92" t="s">
        <v>170</v>
      </c>
      <c r="P92" t="s">
        <v>177</v>
      </c>
      <c r="Q92" t="s">
        <v>202</v>
      </c>
      <c r="U92" t="str">
        <f t="shared" si="3"/>
        <v>Batting First Won</v>
      </c>
      <c r="X92" t="str">
        <f t="shared" si="4"/>
        <v>No</v>
      </c>
      <c r="AA92" t="str">
        <f t="shared" si="5"/>
        <v>2008</v>
      </c>
    </row>
    <row r="93" spans="1:27" x14ac:dyDescent="0.35">
      <c r="A93">
        <v>92</v>
      </c>
      <c r="B93" t="s">
        <v>135</v>
      </c>
      <c r="C93" t="s">
        <v>19</v>
      </c>
      <c r="D93" s="1">
        <v>39757</v>
      </c>
      <c r="E93" t="s">
        <v>37</v>
      </c>
      <c r="F93" t="s">
        <v>154</v>
      </c>
      <c r="G93" t="s">
        <v>37</v>
      </c>
      <c r="H93" t="s">
        <v>50</v>
      </c>
      <c r="I93" t="s">
        <v>23</v>
      </c>
      <c r="J93">
        <v>0</v>
      </c>
      <c r="K93" t="s">
        <v>37</v>
      </c>
      <c r="L93">
        <v>23</v>
      </c>
      <c r="M93">
        <v>0</v>
      </c>
      <c r="N93" t="s">
        <v>198</v>
      </c>
      <c r="O93" t="s">
        <v>25</v>
      </c>
      <c r="P93" t="s">
        <v>165</v>
      </c>
      <c r="Q93" t="s">
        <v>166</v>
      </c>
      <c r="U93" t="str">
        <f t="shared" si="3"/>
        <v>Batting First Won</v>
      </c>
      <c r="X93" t="str">
        <f t="shared" si="4"/>
        <v>Yes</v>
      </c>
      <c r="AA93" t="str">
        <f t="shared" si="5"/>
        <v>2008</v>
      </c>
    </row>
    <row r="94" spans="1:27" x14ac:dyDescent="0.35">
      <c r="A94">
        <v>93</v>
      </c>
      <c r="B94" t="s">
        <v>135</v>
      </c>
      <c r="C94" t="s">
        <v>158</v>
      </c>
      <c r="D94" s="1">
        <v>39757</v>
      </c>
      <c r="E94" t="s">
        <v>49</v>
      </c>
      <c r="F94" t="s">
        <v>146</v>
      </c>
      <c r="G94" t="s">
        <v>146</v>
      </c>
      <c r="H94" t="s">
        <v>22</v>
      </c>
      <c r="I94" t="s">
        <v>23</v>
      </c>
      <c r="J94">
        <v>0</v>
      </c>
      <c r="K94" t="s">
        <v>146</v>
      </c>
      <c r="L94">
        <v>0</v>
      </c>
      <c r="M94">
        <v>3</v>
      </c>
      <c r="N94" t="s">
        <v>160</v>
      </c>
      <c r="O94" t="s">
        <v>161</v>
      </c>
      <c r="P94" t="s">
        <v>152</v>
      </c>
      <c r="Q94" t="s">
        <v>139</v>
      </c>
      <c r="U94" t="str">
        <f t="shared" si="3"/>
        <v>Chasing Won</v>
      </c>
      <c r="X94" t="str">
        <f t="shared" si="4"/>
        <v>Yes</v>
      </c>
      <c r="AA94" t="str">
        <f t="shared" si="5"/>
        <v>2008</v>
      </c>
    </row>
    <row r="95" spans="1:27" x14ac:dyDescent="0.35">
      <c r="A95">
        <v>94</v>
      </c>
      <c r="B95" t="s">
        <v>135</v>
      </c>
      <c r="C95" t="s">
        <v>101</v>
      </c>
      <c r="D95" s="1">
        <v>39787</v>
      </c>
      <c r="E95" t="s">
        <v>21</v>
      </c>
      <c r="F95" t="s">
        <v>43</v>
      </c>
      <c r="G95" t="s">
        <v>21</v>
      </c>
      <c r="H95" t="s">
        <v>50</v>
      </c>
      <c r="I95" t="s">
        <v>23</v>
      </c>
      <c r="J95">
        <v>0</v>
      </c>
      <c r="K95" t="s">
        <v>43</v>
      </c>
      <c r="L95">
        <v>0</v>
      </c>
      <c r="M95">
        <v>9</v>
      </c>
      <c r="N95" t="s">
        <v>189</v>
      </c>
      <c r="O95" t="s">
        <v>143</v>
      </c>
      <c r="P95" t="s">
        <v>184</v>
      </c>
      <c r="Q95" t="s">
        <v>182</v>
      </c>
      <c r="U95" t="str">
        <f t="shared" si="3"/>
        <v>Chasing Won</v>
      </c>
      <c r="X95" t="str">
        <f t="shared" si="4"/>
        <v>No</v>
      </c>
      <c r="AA95" t="str">
        <f t="shared" si="5"/>
        <v>2008</v>
      </c>
    </row>
    <row r="96" spans="1:27" x14ac:dyDescent="0.35">
      <c r="A96">
        <v>95</v>
      </c>
      <c r="B96" t="s">
        <v>135</v>
      </c>
      <c r="C96" t="s">
        <v>61</v>
      </c>
      <c r="D96" t="s">
        <v>203</v>
      </c>
      <c r="E96" t="s">
        <v>37</v>
      </c>
      <c r="F96" t="s">
        <v>49</v>
      </c>
      <c r="G96" t="s">
        <v>37</v>
      </c>
      <c r="H96" t="s">
        <v>50</v>
      </c>
      <c r="I96" t="s">
        <v>23</v>
      </c>
      <c r="J96">
        <v>0</v>
      </c>
      <c r="K96" t="s">
        <v>37</v>
      </c>
      <c r="L96">
        <v>23</v>
      </c>
      <c r="M96">
        <v>0</v>
      </c>
      <c r="N96" t="s">
        <v>204</v>
      </c>
      <c r="O96" t="s">
        <v>64</v>
      </c>
      <c r="P96" t="s">
        <v>138</v>
      </c>
      <c r="Q96" t="s">
        <v>165</v>
      </c>
      <c r="U96" t="str">
        <f t="shared" si="3"/>
        <v>Batting First Won</v>
      </c>
      <c r="X96" t="str">
        <f t="shared" si="4"/>
        <v>Yes</v>
      </c>
      <c r="AA96" t="str">
        <f t="shared" si="5"/>
        <v>2008</v>
      </c>
    </row>
    <row r="97" spans="1:27" x14ac:dyDescent="0.35">
      <c r="A97">
        <v>96</v>
      </c>
      <c r="B97" t="s">
        <v>135</v>
      </c>
      <c r="C97" t="s">
        <v>55</v>
      </c>
      <c r="D97" t="s">
        <v>205</v>
      </c>
      <c r="E97" t="s">
        <v>141</v>
      </c>
      <c r="F97" t="s">
        <v>29</v>
      </c>
      <c r="G97" t="s">
        <v>29</v>
      </c>
      <c r="H97" t="s">
        <v>22</v>
      </c>
      <c r="I97" t="s">
        <v>23</v>
      </c>
      <c r="J97">
        <v>0</v>
      </c>
      <c r="K97" t="s">
        <v>29</v>
      </c>
      <c r="L97">
        <v>0</v>
      </c>
      <c r="M97">
        <v>9</v>
      </c>
      <c r="N97" t="s">
        <v>186</v>
      </c>
      <c r="O97" t="s">
        <v>57</v>
      </c>
      <c r="P97" t="s">
        <v>184</v>
      </c>
      <c r="Q97" t="s">
        <v>166</v>
      </c>
      <c r="U97" t="str">
        <f t="shared" si="3"/>
        <v>Chasing Won</v>
      </c>
      <c r="X97" t="str">
        <f t="shared" si="4"/>
        <v>Yes</v>
      </c>
      <c r="AA97" t="str">
        <f t="shared" si="5"/>
        <v>2008</v>
      </c>
    </row>
    <row r="98" spans="1:27" x14ac:dyDescent="0.35">
      <c r="A98">
        <v>97</v>
      </c>
      <c r="B98" t="s">
        <v>135</v>
      </c>
      <c r="C98" t="s">
        <v>101</v>
      </c>
      <c r="D98" t="s">
        <v>199</v>
      </c>
      <c r="E98" t="s">
        <v>43</v>
      </c>
      <c r="F98" t="s">
        <v>146</v>
      </c>
      <c r="G98" t="s">
        <v>146</v>
      </c>
      <c r="H98" t="s">
        <v>22</v>
      </c>
      <c r="I98" t="s">
        <v>23</v>
      </c>
      <c r="J98">
        <v>0</v>
      </c>
      <c r="K98" t="s">
        <v>43</v>
      </c>
      <c r="L98">
        <v>41</v>
      </c>
      <c r="M98">
        <v>0</v>
      </c>
      <c r="N98" t="s">
        <v>189</v>
      </c>
      <c r="O98" t="s">
        <v>143</v>
      </c>
      <c r="P98" t="s">
        <v>152</v>
      </c>
      <c r="Q98" t="s">
        <v>157</v>
      </c>
      <c r="U98" t="str">
        <f t="shared" si="3"/>
        <v>Batting First Won</v>
      </c>
      <c r="X98" t="str">
        <f t="shared" si="4"/>
        <v>No</v>
      </c>
      <c r="AA98" t="str">
        <f t="shared" si="5"/>
        <v>2008</v>
      </c>
    </row>
    <row r="99" spans="1:27" x14ac:dyDescent="0.35">
      <c r="A99">
        <v>98</v>
      </c>
      <c r="B99" t="s">
        <v>135</v>
      </c>
      <c r="C99" t="s">
        <v>71</v>
      </c>
      <c r="D99" t="s">
        <v>206</v>
      </c>
      <c r="E99" t="s">
        <v>49</v>
      </c>
      <c r="F99" t="s">
        <v>154</v>
      </c>
      <c r="G99" t="s">
        <v>154</v>
      </c>
      <c r="H99" t="s">
        <v>22</v>
      </c>
      <c r="I99" t="s">
        <v>23</v>
      </c>
      <c r="J99">
        <v>0</v>
      </c>
      <c r="K99" t="s">
        <v>49</v>
      </c>
      <c r="L99">
        <v>12</v>
      </c>
      <c r="M99">
        <v>0</v>
      </c>
      <c r="N99" t="s">
        <v>207</v>
      </c>
      <c r="O99" t="s">
        <v>73</v>
      </c>
      <c r="P99" t="s">
        <v>202</v>
      </c>
      <c r="Q99" t="s">
        <v>149</v>
      </c>
      <c r="U99" t="str">
        <f t="shared" si="3"/>
        <v>Batting First Won</v>
      </c>
      <c r="X99" t="str">
        <f t="shared" si="4"/>
        <v>No</v>
      </c>
      <c r="AA99" t="str">
        <f t="shared" si="5"/>
        <v>2008</v>
      </c>
    </row>
    <row r="100" spans="1:27" x14ac:dyDescent="0.35">
      <c r="A100">
        <v>99</v>
      </c>
      <c r="B100" t="s">
        <v>135</v>
      </c>
      <c r="C100" t="s">
        <v>55</v>
      </c>
      <c r="D100" t="s">
        <v>208</v>
      </c>
      <c r="E100" t="s">
        <v>37</v>
      </c>
      <c r="F100" t="s">
        <v>29</v>
      </c>
      <c r="G100" t="s">
        <v>29</v>
      </c>
      <c r="H100" t="s">
        <v>22</v>
      </c>
      <c r="I100" t="s">
        <v>23</v>
      </c>
      <c r="J100">
        <v>0</v>
      </c>
      <c r="K100" t="s">
        <v>29</v>
      </c>
      <c r="L100">
        <v>0</v>
      </c>
      <c r="M100">
        <v>8</v>
      </c>
      <c r="N100" t="s">
        <v>194</v>
      </c>
      <c r="O100" t="s">
        <v>57</v>
      </c>
      <c r="P100" t="s">
        <v>184</v>
      </c>
      <c r="Q100" t="s">
        <v>153</v>
      </c>
      <c r="U100" t="str">
        <f t="shared" si="3"/>
        <v>Chasing Won</v>
      </c>
      <c r="X100" t="str">
        <f t="shared" si="4"/>
        <v>Yes</v>
      </c>
      <c r="AA100" t="str">
        <f t="shared" si="5"/>
        <v>2008</v>
      </c>
    </row>
    <row r="101" spans="1:27" x14ac:dyDescent="0.35">
      <c r="A101">
        <v>100</v>
      </c>
      <c r="B101" t="s">
        <v>135</v>
      </c>
      <c r="C101" t="s">
        <v>71</v>
      </c>
      <c r="D101" t="s">
        <v>209</v>
      </c>
      <c r="E101" t="s">
        <v>49</v>
      </c>
      <c r="F101" t="s">
        <v>43</v>
      </c>
      <c r="G101" t="s">
        <v>49</v>
      </c>
      <c r="H101" t="s">
        <v>50</v>
      </c>
      <c r="I101" t="s">
        <v>23</v>
      </c>
      <c r="J101">
        <v>1</v>
      </c>
      <c r="K101" t="s">
        <v>43</v>
      </c>
      <c r="L101">
        <v>6</v>
      </c>
      <c r="M101">
        <v>0</v>
      </c>
      <c r="N101" t="s">
        <v>210</v>
      </c>
      <c r="O101" t="s">
        <v>73</v>
      </c>
      <c r="P101" t="s">
        <v>177</v>
      </c>
      <c r="Q101" t="s">
        <v>139</v>
      </c>
      <c r="U101" t="str">
        <f t="shared" si="3"/>
        <v>Batting First Won</v>
      </c>
      <c r="X101" t="str">
        <f t="shared" si="4"/>
        <v>No</v>
      </c>
      <c r="AA101" t="str">
        <f t="shared" si="5"/>
        <v>2008</v>
      </c>
    </row>
    <row r="102" spans="1:27" x14ac:dyDescent="0.35">
      <c r="A102">
        <v>101</v>
      </c>
      <c r="B102" t="s">
        <v>135</v>
      </c>
      <c r="C102" t="s">
        <v>158</v>
      </c>
      <c r="D102" t="s">
        <v>209</v>
      </c>
      <c r="E102" t="s">
        <v>146</v>
      </c>
      <c r="F102" t="s">
        <v>21</v>
      </c>
      <c r="G102" t="s">
        <v>21</v>
      </c>
      <c r="H102" t="s">
        <v>22</v>
      </c>
      <c r="I102" t="s">
        <v>23</v>
      </c>
      <c r="J102">
        <v>0</v>
      </c>
      <c r="K102" t="s">
        <v>146</v>
      </c>
      <c r="L102">
        <v>65</v>
      </c>
      <c r="M102">
        <v>0</v>
      </c>
      <c r="N102" t="s">
        <v>211</v>
      </c>
      <c r="O102" t="s">
        <v>161</v>
      </c>
      <c r="P102" t="s">
        <v>156</v>
      </c>
      <c r="Q102" t="s">
        <v>145</v>
      </c>
      <c r="U102" t="str">
        <f t="shared" si="3"/>
        <v>Batting First Won</v>
      </c>
      <c r="X102" t="str">
        <f t="shared" si="4"/>
        <v>No</v>
      </c>
      <c r="AA102" t="str">
        <f t="shared" si="5"/>
        <v>2008</v>
      </c>
    </row>
    <row r="103" spans="1:27" x14ac:dyDescent="0.35">
      <c r="A103">
        <v>102</v>
      </c>
      <c r="B103" t="s">
        <v>135</v>
      </c>
      <c r="C103" t="s">
        <v>19</v>
      </c>
      <c r="D103" t="s">
        <v>212</v>
      </c>
      <c r="E103" t="s">
        <v>29</v>
      </c>
      <c r="F103" t="s">
        <v>154</v>
      </c>
      <c r="G103" t="s">
        <v>154</v>
      </c>
      <c r="H103" t="s">
        <v>22</v>
      </c>
      <c r="I103" t="s">
        <v>23</v>
      </c>
      <c r="J103">
        <v>0</v>
      </c>
      <c r="K103" t="s">
        <v>29</v>
      </c>
      <c r="L103">
        <v>25</v>
      </c>
      <c r="M103">
        <v>0</v>
      </c>
      <c r="N103" t="s">
        <v>213</v>
      </c>
      <c r="O103" t="s">
        <v>25</v>
      </c>
      <c r="P103" t="s">
        <v>184</v>
      </c>
      <c r="Q103" t="s">
        <v>153</v>
      </c>
      <c r="U103" t="str">
        <f t="shared" si="3"/>
        <v>Batting First Won</v>
      </c>
      <c r="X103" t="str">
        <f t="shared" si="4"/>
        <v>No</v>
      </c>
      <c r="AA103" t="str">
        <f t="shared" si="5"/>
        <v>2008</v>
      </c>
    </row>
    <row r="104" spans="1:27" x14ac:dyDescent="0.35">
      <c r="A104">
        <v>103</v>
      </c>
      <c r="B104" t="s">
        <v>135</v>
      </c>
      <c r="C104" t="s">
        <v>61</v>
      </c>
      <c r="D104" t="s">
        <v>212</v>
      </c>
      <c r="E104" t="s">
        <v>37</v>
      </c>
      <c r="F104" t="s">
        <v>141</v>
      </c>
      <c r="G104" t="s">
        <v>37</v>
      </c>
      <c r="H104" t="s">
        <v>50</v>
      </c>
      <c r="I104" t="s">
        <v>23</v>
      </c>
      <c r="J104">
        <v>1</v>
      </c>
      <c r="K104" t="s">
        <v>141</v>
      </c>
      <c r="L104">
        <v>3</v>
      </c>
      <c r="M104">
        <v>0</v>
      </c>
      <c r="N104" t="s">
        <v>214</v>
      </c>
      <c r="O104" t="s">
        <v>64</v>
      </c>
      <c r="P104" t="s">
        <v>138</v>
      </c>
      <c r="Q104" t="s">
        <v>157</v>
      </c>
      <c r="U104" t="str">
        <f t="shared" si="3"/>
        <v>Batting First Won</v>
      </c>
      <c r="X104" t="str">
        <f t="shared" si="4"/>
        <v>No</v>
      </c>
      <c r="AA104" t="str">
        <f t="shared" si="5"/>
        <v>2008</v>
      </c>
    </row>
    <row r="105" spans="1:27" x14ac:dyDescent="0.35">
      <c r="A105">
        <v>104</v>
      </c>
      <c r="B105" t="s">
        <v>135</v>
      </c>
      <c r="C105" t="s">
        <v>48</v>
      </c>
      <c r="D105" t="s">
        <v>215</v>
      </c>
      <c r="E105" t="s">
        <v>21</v>
      </c>
      <c r="F105" t="s">
        <v>49</v>
      </c>
      <c r="G105" t="s">
        <v>49</v>
      </c>
      <c r="H105" t="s">
        <v>22</v>
      </c>
      <c r="I105" t="s">
        <v>23</v>
      </c>
      <c r="J105">
        <v>0</v>
      </c>
      <c r="K105" t="s">
        <v>49</v>
      </c>
      <c r="L105">
        <v>0</v>
      </c>
      <c r="M105">
        <v>5</v>
      </c>
      <c r="N105" t="s">
        <v>216</v>
      </c>
      <c r="O105" t="s">
        <v>52</v>
      </c>
      <c r="P105" t="s">
        <v>152</v>
      </c>
      <c r="Q105" t="s">
        <v>149</v>
      </c>
      <c r="U105" t="str">
        <f t="shared" si="3"/>
        <v>Chasing Won</v>
      </c>
      <c r="X105" t="str">
        <f t="shared" si="4"/>
        <v>Yes</v>
      </c>
      <c r="AA105" t="str">
        <f t="shared" si="5"/>
        <v>2008</v>
      </c>
    </row>
    <row r="106" spans="1:27" x14ac:dyDescent="0.35">
      <c r="A106">
        <v>105</v>
      </c>
      <c r="B106" t="s">
        <v>135</v>
      </c>
      <c r="C106" t="s">
        <v>61</v>
      </c>
      <c r="D106" t="s">
        <v>217</v>
      </c>
      <c r="E106" t="s">
        <v>37</v>
      </c>
      <c r="F106" t="s">
        <v>146</v>
      </c>
      <c r="G106" t="s">
        <v>146</v>
      </c>
      <c r="H106" t="s">
        <v>22</v>
      </c>
      <c r="I106" t="s">
        <v>23</v>
      </c>
      <c r="J106">
        <v>0</v>
      </c>
      <c r="K106" t="s">
        <v>146</v>
      </c>
      <c r="L106">
        <v>0</v>
      </c>
      <c r="M106">
        <v>6</v>
      </c>
      <c r="N106" t="s">
        <v>172</v>
      </c>
      <c r="O106" t="s">
        <v>64</v>
      </c>
      <c r="P106" t="s">
        <v>202</v>
      </c>
      <c r="Q106" t="s">
        <v>139</v>
      </c>
      <c r="U106" t="str">
        <f t="shared" si="3"/>
        <v>Chasing Won</v>
      </c>
      <c r="X106" t="str">
        <f t="shared" si="4"/>
        <v>Yes</v>
      </c>
      <c r="AA106" t="str">
        <f t="shared" si="5"/>
        <v>2008</v>
      </c>
    </row>
    <row r="107" spans="1:27" x14ac:dyDescent="0.35">
      <c r="A107">
        <v>106</v>
      </c>
      <c r="B107" t="s">
        <v>135</v>
      </c>
      <c r="C107" t="s">
        <v>55</v>
      </c>
      <c r="D107" t="s">
        <v>218</v>
      </c>
      <c r="E107" t="s">
        <v>43</v>
      </c>
      <c r="F107" t="s">
        <v>29</v>
      </c>
      <c r="G107" t="s">
        <v>29</v>
      </c>
      <c r="H107" t="s">
        <v>22</v>
      </c>
      <c r="I107" t="s">
        <v>23</v>
      </c>
      <c r="J107">
        <v>0</v>
      </c>
      <c r="K107" t="s">
        <v>43</v>
      </c>
      <c r="L107">
        <v>1</v>
      </c>
      <c r="M107">
        <v>0</v>
      </c>
      <c r="N107" t="s">
        <v>189</v>
      </c>
      <c r="O107" t="s">
        <v>57</v>
      </c>
      <c r="P107" t="s">
        <v>156</v>
      </c>
      <c r="Q107" t="s">
        <v>149</v>
      </c>
      <c r="U107" t="str">
        <f t="shared" si="3"/>
        <v>Batting First Won</v>
      </c>
      <c r="X107" t="str">
        <f t="shared" si="4"/>
        <v>No</v>
      </c>
      <c r="AA107" t="str">
        <f t="shared" si="5"/>
        <v>2008</v>
      </c>
    </row>
    <row r="108" spans="1:27" x14ac:dyDescent="0.35">
      <c r="A108">
        <v>107</v>
      </c>
      <c r="B108" t="s">
        <v>135</v>
      </c>
      <c r="C108" t="s">
        <v>167</v>
      </c>
      <c r="D108" t="s">
        <v>218</v>
      </c>
      <c r="E108" t="s">
        <v>21</v>
      </c>
      <c r="F108" t="s">
        <v>141</v>
      </c>
      <c r="G108" t="s">
        <v>21</v>
      </c>
      <c r="H108" t="s">
        <v>50</v>
      </c>
      <c r="I108" t="s">
        <v>23</v>
      </c>
      <c r="J108">
        <v>0</v>
      </c>
      <c r="K108" t="s">
        <v>21</v>
      </c>
      <c r="L108">
        <v>14</v>
      </c>
      <c r="M108">
        <v>0</v>
      </c>
      <c r="N108" t="s">
        <v>219</v>
      </c>
      <c r="O108" t="s">
        <v>170</v>
      </c>
      <c r="P108" t="s">
        <v>153</v>
      </c>
      <c r="Q108" t="s">
        <v>182</v>
      </c>
      <c r="U108" t="str">
        <f t="shared" si="3"/>
        <v>Batting First Won</v>
      </c>
      <c r="X108" t="str">
        <f t="shared" si="4"/>
        <v>Yes</v>
      </c>
      <c r="AA108" t="str">
        <f t="shared" si="5"/>
        <v>2008</v>
      </c>
    </row>
    <row r="109" spans="1:27" x14ac:dyDescent="0.35">
      <c r="A109">
        <v>108</v>
      </c>
      <c r="B109" t="s">
        <v>135</v>
      </c>
      <c r="C109" t="s">
        <v>101</v>
      </c>
      <c r="D109" t="s">
        <v>220</v>
      </c>
      <c r="E109" t="s">
        <v>154</v>
      </c>
      <c r="F109" t="s">
        <v>43</v>
      </c>
      <c r="G109" t="s">
        <v>43</v>
      </c>
      <c r="H109" t="s">
        <v>22</v>
      </c>
      <c r="I109" t="s">
        <v>23</v>
      </c>
      <c r="J109">
        <v>0</v>
      </c>
      <c r="K109" t="s">
        <v>43</v>
      </c>
      <c r="L109">
        <v>0</v>
      </c>
      <c r="M109">
        <v>6</v>
      </c>
      <c r="N109" t="s">
        <v>189</v>
      </c>
      <c r="O109" t="s">
        <v>143</v>
      </c>
      <c r="P109" t="s">
        <v>138</v>
      </c>
      <c r="Q109" t="s">
        <v>152</v>
      </c>
      <c r="U109" t="str">
        <f t="shared" si="3"/>
        <v>Chasing Won</v>
      </c>
      <c r="X109" t="str">
        <f t="shared" si="4"/>
        <v>Yes</v>
      </c>
      <c r="AA109" t="str">
        <f t="shared" si="5"/>
        <v>2008</v>
      </c>
    </row>
    <row r="110" spans="1:27" x14ac:dyDescent="0.35">
      <c r="A110">
        <v>109</v>
      </c>
      <c r="B110" t="s">
        <v>135</v>
      </c>
      <c r="C110" t="s">
        <v>71</v>
      </c>
      <c r="D110" t="s">
        <v>221</v>
      </c>
      <c r="E110" t="s">
        <v>29</v>
      </c>
      <c r="F110" t="s">
        <v>49</v>
      </c>
      <c r="G110" t="s">
        <v>49</v>
      </c>
      <c r="H110" t="s">
        <v>22</v>
      </c>
      <c r="I110" t="s">
        <v>23</v>
      </c>
      <c r="J110">
        <v>0</v>
      </c>
      <c r="K110" t="s">
        <v>49</v>
      </c>
      <c r="L110">
        <v>0</v>
      </c>
      <c r="M110">
        <v>5</v>
      </c>
      <c r="N110" t="s">
        <v>222</v>
      </c>
      <c r="O110" t="s">
        <v>73</v>
      </c>
      <c r="P110" t="s">
        <v>156</v>
      </c>
      <c r="Q110" t="s">
        <v>157</v>
      </c>
      <c r="U110" t="str">
        <f t="shared" si="3"/>
        <v>Chasing Won</v>
      </c>
      <c r="X110" t="str">
        <f t="shared" si="4"/>
        <v>Yes</v>
      </c>
      <c r="AA110" t="str">
        <f t="shared" si="5"/>
        <v>2008</v>
      </c>
    </row>
    <row r="111" spans="1:27" x14ac:dyDescent="0.35">
      <c r="A111">
        <v>110</v>
      </c>
      <c r="B111" t="s">
        <v>135</v>
      </c>
      <c r="C111" t="s">
        <v>167</v>
      </c>
      <c r="D111" t="s">
        <v>221</v>
      </c>
      <c r="E111" t="s">
        <v>146</v>
      </c>
      <c r="F111" t="s">
        <v>141</v>
      </c>
      <c r="G111" t="s">
        <v>146</v>
      </c>
      <c r="H111" t="s">
        <v>50</v>
      </c>
      <c r="I111" t="s">
        <v>23</v>
      </c>
      <c r="J111">
        <v>0</v>
      </c>
      <c r="K111" t="s">
        <v>146</v>
      </c>
      <c r="L111">
        <v>10</v>
      </c>
      <c r="M111">
        <v>0</v>
      </c>
      <c r="N111" t="s">
        <v>223</v>
      </c>
      <c r="O111" t="s">
        <v>170</v>
      </c>
      <c r="P111" t="s">
        <v>153</v>
      </c>
      <c r="Q111" t="s">
        <v>145</v>
      </c>
      <c r="U111" t="str">
        <f t="shared" si="3"/>
        <v>Batting First Won</v>
      </c>
      <c r="X111" t="str">
        <f t="shared" si="4"/>
        <v>Yes</v>
      </c>
      <c r="AA111" t="str">
        <f t="shared" si="5"/>
        <v>2008</v>
      </c>
    </row>
    <row r="112" spans="1:27" x14ac:dyDescent="0.35">
      <c r="A112">
        <v>111</v>
      </c>
      <c r="B112" t="s">
        <v>135</v>
      </c>
      <c r="C112" t="s">
        <v>48</v>
      </c>
      <c r="D112" s="1">
        <v>39512</v>
      </c>
      <c r="E112" t="s">
        <v>21</v>
      </c>
      <c r="F112" t="s">
        <v>154</v>
      </c>
      <c r="G112" t="s">
        <v>154</v>
      </c>
      <c r="H112" t="s">
        <v>22</v>
      </c>
      <c r="I112" t="s">
        <v>23</v>
      </c>
      <c r="J112">
        <v>0</v>
      </c>
      <c r="K112" t="s">
        <v>21</v>
      </c>
      <c r="L112">
        <v>3</v>
      </c>
      <c r="M112">
        <v>0</v>
      </c>
      <c r="N112" t="s">
        <v>224</v>
      </c>
      <c r="O112" t="s">
        <v>52</v>
      </c>
      <c r="P112" t="s">
        <v>184</v>
      </c>
      <c r="Q112" t="s">
        <v>145</v>
      </c>
      <c r="U112" t="str">
        <f t="shared" si="3"/>
        <v>Batting First Won</v>
      </c>
      <c r="X112" t="str">
        <f t="shared" si="4"/>
        <v>No</v>
      </c>
      <c r="AA112" t="str">
        <f t="shared" si="5"/>
        <v>2008</v>
      </c>
    </row>
    <row r="113" spans="1:27" x14ac:dyDescent="0.35">
      <c r="A113">
        <v>112</v>
      </c>
      <c r="B113" t="s">
        <v>135</v>
      </c>
      <c r="C113" t="s">
        <v>61</v>
      </c>
      <c r="D113" t="s">
        <v>191</v>
      </c>
      <c r="E113" t="s">
        <v>43</v>
      </c>
      <c r="F113" t="s">
        <v>37</v>
      </c>
      <c r="G113" t="s">
        <v>43</v>
      </c>
      <c r="H113" t="s">
        <v>50</v>
      </c>
      <c r="I113" t="s">
        <v>23</v>
      </c>
      <c r="J113">
        <v>0</v>
      </c>
      <c r="K113" t="s">
        <v>37</v>
      </c>
      <c r="L113">
        <v>0</v>
      </c>
      <c r="M113">
        <v>3</v>
      </c>
      <c r="N113" t="s">
        <v>225</v>
      </c>
      <c r="O113" t="s">
        <v>64</v>
      </c>
      <c r="P113" t="s">
        <v>152</v>
      </c>
      <c r="Q113" t="s">
        <v>182</v>
      </c>
      <c r="U113" t="str">
        <f t="shared" si="3"/>
        <v>Chasing Won</v>
      </c>
      <c r="X113" t="str">
        <f t="shared" si="4"/>
        <v>No</v>
      </c>
      <c r="AA113" t="str">
        <f t="shared" si="5"/>
        <v>2008</v>
      </c>
    </row>
    <row r="114" spans="1:27" x14ac:dyDescent="0.35">
      <c r="A114">
        <v>113</v>
      </c>
      <c r="B114" t="s">
        <v>135</v>
      </c>
      <c r="C114" t="s">
        <v>158</v>
      </c>
      <c r="D114" t="s">
        <v>226</v>
      </c>
      <c r="E114" t="s">
        <v>29</v>
      </c>
      <c r="F114" t="s">
        <v>146</v>
      </c>
      <c r="G114" t="s">
        <v>146</v>
      </c>
      <c r="H114" t="s">
        <v>22</v>
      </c>
      <c r="I114" t="s">
        <v>23</v>
      </c>
      <c r="J114">
        <v>0</v>
      </c>
      <c r="K114" t="s">
        <v>146</v>
      </c>
      <c r="L114">
        <v>0</v>
      </c>
      <c r="M114">
        <v>5</v>
      </c>
      <c r="N114" t="s">
        <v>195</v>
      </c>
      <c r="O114" t="s">
        <v>161</v>
      </c>
      <c r="P114" t="s">
        <v>156</v>
      </c>
      <c r="Q114" t="s">
        <v>157</v>
      </c>
      <c r="U114" t="str">
        <f t="shared" si="3"/>
        <v>Chasing Won</v>
      </c>
      <c r="X114" t="str">
        <f t="shared" si="4"/>
        <v>Yes</v>
      </c>
      <c r="AA114" t="str">
        <f t="shared" si="5"/>
        <v>2008</v>
      </c>
    </row>
    <row r="115" spans="1:27" x14ac:dyDescent="0.35">
      <c r="A115">
        <v>114</v>
      </c>
      <c r="B115" t="s">
        <v>135</v>
      </c>
      <c r="C115" t="s">
        <v>19</v>
      </c>
      <c r="D115" t="s">
        <v>227</v>
      </c>
      <c r="E115" t="s">
        <v>154</v>
      </c>
      <c r="F115" t="s">
        <v>141</v>
      </c>
      <c r="G115" t="s">
        <v>154</v>
      </c>
      <c r="H115" t="s">
        <v>50</v>
      </c>
      <c r="I115" t="s">
        <v>23</v>
      </c>
      <c r="J115">
        <v>0</v>
      </c>
      <c r="K115" t="s">
        <v>141</v>
      </c>
      <c r="L115">
        <v>0</v>
      </c>
      <c r="M115">
        <v>7</v>
      </c>
      <c r="N115" t="s">
        <v>90</v>
      </c>
      <c r="O115" t="s">
        <v>25</v>
      </c>
      <c r="P115" t="s">
        <v>202</v>
      </c>
      <c r="Q115" t="s">
        <v>166</v>
      </c>
      <c r="U115" t="str">
        <f t="shared" si="3"/>
        <v>Chasing Won</v>
      </c>
      <c r="X115" t="str">
        <f t="shared" si="4"/>
        <v>No</v>
      </c>
      <c r="AA115" t="str">
        <f t="shared" si="5"/>
        <v>2008</v>
      </c>
    </row>
    <row r="116" spans="1:27" x14ac:dyDescent="0.35">
      <c r="A116">
        <v>115</v>
      </c>
      <c r="B116" t="s">
        <v>135</v>
      </c>
      <c r="C116" t="s">
        <v>55</v>
      </c>
      <c r="D116" t="s">
        <v>228</v>
      </c>
      <c r="E116" t="s">
        <v>146</v>
      </c>
      <c r="F116" t="s">
        <v>49</v>
      </c>
      <c r="G116" t="s">
        <v>49</v>
      </c>
      <c r="H116" t="s">
        <v>22</v>
      </c>
      <c r="I116" t="s">
        <v>23</v>
      </c>
      <c r="J116">
        <v>0</v>
      </c>
      <c r="K116" t="s">
        <v>146</v>
      </c>
      <c r="L116">
        <v>105</v>
      </c>
      <c r="M116">
        <v>0</v>
      </c>
      <c r="N116" t="s">
        <v>160</v>
      </c>
      <c r="O116" t="s">
        <v>57</v>
      </c>
      <c r="P116" t="s">
        <v>156</v>
      </c>
      <c r="Q116" t="s">
        <v>139</v>
      </c>
      <c r="U116" t="str">
        <f t="shared" si="3"/>
        <v>Batting First Won</v>
      </c>
      <c r="X116" t="str">
        <f t="shared" si="4"/>
        <v>No</v>
      </c>
      <c r="AA116" t="str">
        <f t="shared" si="5"/>
        <v>2008</v>
      </c>
    </row>
    <row r="117" spans="1:27" x14ac:dyDescent="0.35">
      <c r="A117">
        <v>116</v>
      </c>
      <c r="B117" t="s">
        <v>135</v>
      </c>
      <c r="C117" t="s">
        <v>55</v>
      </c>
      <c r="D117" t="s">
        <v>229</v>
      </c>
      <c r="E117" t="s">
        <v>43</v>
      </c>
      <c r="F117" t="s">
        <v>141</v>
      </c>
      <c r="G117" t="s">
        <v>43</v>
      </c>
      <c r="H117" t="s">
        <v>50</v>
      </c>
      <c r="I117" t="s">
        <v>23</v>
      </c>
      <c r="J117">
        <v>0</v>
      </c>
      <c r="K117" t="s">
        <v>141</v>
      </c>
      <c r="L117">
        <v>0</v>
      </c>
      <c r="M117">
        <v>9</v>
      </c>
      <c r="N117" t="s">
        <v>214</v>
      </c>
      <c r="O117" t="s">
        <v>57</v>
      </c>
      <c r="P117" t="s">
        <v>138</v>
      </c>
      <c r="Q117" t="s">
        <v>153</v>
      </c>
      <c r="U117" t="str">
        <f t="shared" si="3"/>
        <v>Chasing Won</v>
      </c>
      <c r="X117" t="str">
        <f t="shared" si="4"/>
        <v>No</v>
      </c>
      <c r="AA117" t="str">
        <f t="shared" si="5"/>
        <v>2008</v>
      </c>
    </row>
    <row r="118" spans="1:27" x14ac:dyDescent="0.35">
      <c r="A118">
        <v>117</v>
      </c>
      <c r="B118" t="s">
        <v>135</v>
      </c>
      <c r="C118" t="s">
        <v>55</v>
      </c>
      <c r="D118" s="1">
        <v>39453</v>
      </c>
      <c r="E118" t="s">
        <v>141</v>
      </c>
      <c r="F118" t="s">
        <v>146</v>
      </c>
      <c r="G118" t="s">
        <v>146</v>
      </c>
      <c r="H118" t="s">
        <v>22</v>
      </c>
      <c r="I118" t="s">
        <v>23</v>
      </c>
      <c r="J118">
        <v>0</v>
      </c>
      <c r="K118" t="s">
        <v>146</v>
      </c>
      <c r="L118">
        <v>0</v>
      </c>
      <c r="M118">
        <v>3</v>
      </c>
      <c r="N118" t="s">
        <v>172</v>
      </c>
      <c r="O118" t="s">
        <v>180</v>
      </c>
      <c r="P118" t="s">
        <v>156</v>
      </c>
      <c r="Q118" t="s">
        <v>139</v>
      </c>
      <c r="U118" t="str">
        <f t="shared" si="3"/>
        <v>Chasing Won</v>
      </c>
      <c r="X118" t="str">
        <f t="shared" si="4"/>
        <v>Yes</v>
      </c>
      <c r="AA118" t="str">
        <f t="shared" si="5"/>
        <v>2008</v>
      </c>
    </row>
    <row r="119" spans="1:27" x14ac:dyDescent="0.35">
      <c r="A119">
        <v>118</v>
      </c>
      <c r="B119" t="s">
        <v>230</v>
      </c>
      <c r="C119" t="s">
        <v>231</v>
      </c>
      <c r="D119" t="s">
        <v>232</v>
      </c>
      <c r="E119" t="s">
        <v>29</v>
      </c>
      <c r="F119" t="s">
        <v>141</v>
      </c>
      <c r="G119" t="s">
        <v>141</v>
      </c>
      <c r="H119" t="s">
        <v>22</v>
      </c>
      <c r="I119" t="s">
        <v>23</v>
      </c>
      <c r="J119">
        <v>0</v>
      </c>
      <c r="K119" t="s">
        <v>29</v>
      </c>
      <c r="L119">
        <v>19</v>
      </c>
      <c r="M119">
        <v>0</v>
      </c>
      <c r="N119" t="s">
        <v>233</v>
      </c>
      <c r="O119" t="s">
        <v>234</v>
      </c>
      <c r="P119" t="s">
        <v>184</v>
      </c>
      <c r="Q119" t="s">
        <v>157</v>
      </c>
      <c r="U119" t="str">
        <f t="shared" si="3"/>
        <v>Batting First Won</v>
      </c>
      <c r="X119" t="str">
        <f t="shared" si="4"/>
        <v>No</v>
      </c>
      <c r="AA119" t="str">
        <f t="shared" si="5"/>
        <v>2009</v>
      </c>
    </row>
    <row r="120" spans="1:27" x14ac:dyDescent="0.35">
      <c r="A120">
        <v>119</v>
      </c>
      <c r="B120" t="s">
        <v>230</v>
      </c>
      <c r="C120" t="s">
        <v>231</v>
      </c>
      <c r="D120" t="s">
        <v>232</v>
      </c>
      <c r="E120" t="s">
        <v>21</v>
      </c>
      <c r="F120" t="s">
        <v>146</v>
      </c>
      <c r="G120" t="s">
        <v>21</v>
      </c>
      <c r="H120" t="s">
        <v>50</v>
      </c>
      <c r="I120" t="s">
        <v>23</v>
      </c>
      <c r="J120">
        <v>0</v>
      </c>
      <c r="K120" t="s">
        <v>21</v>
      </c>
      <c r="L120">
        <v>75</v>
      </c>
      <c r="M120">
        <v>0</v>
      </c>
      <c r="N120" t="s">
        <v>235</v>
      </c>
      <c r="O120" t="s">
        <v>234</v>
      </c>
      <c r="P120" t="s">
        <v>184</v>
      </c>
      <c r="Q120" t="s">
        <v>162</v>
      </c>
      <c r="U120" t="str">
        <f t="shared" si="3"/>
        <v>Batting First Won</v>
      </c>
      <c r="X120" t="str">
        <f t="shared" si="4"/>
        <v>Yes</v>
      </c>
      <c r="AA120" t="str">
        <f t="shared" si="5"/>
        <v>2009</v>
      </c>
    </row>
    <row r="121" spans="1:27" x14ac:dyDescent="0.35">
      <c r="A121">
        <v>120</v>
      </c>
      <c r="B121" t="s">
        <v>230</v>
      </c>
      <c r="C121" t="s">
        <v>231</v>
      </c>
      <c r="D121" t="s">
        <v>236</v>
      </c>
      <c r="E121" t="s">
        <v>43</v>
      </c>
      <c r="F121" t="s">
        <v>49</v>
      </c>
      <c r="G121" t="s">
        <v>49</v>
      </c>
      <c r="H121" t="s">
        <v>22</v>
      </c>
      <c r="I121" t="s">
        <v>23</v>
      </c>
      <c r="J121">
        <v>1</v>
      </c>
      <c r="K121" t="s">
        <v>49</v>
      </c>
      <c r="L121">
        <v>0</v>
      </c>
      <c r="M121">
        <v>10</v>
      </c>
      <c r="N121" t="s">
        <v>237</v>
      </c>
      <c r="O121" t="s">
        <v>234</v>
      </c>
      <c r="P121" t="s">
        <v>144</v>
      </c>
      <c r="Q121" t="s">
        <v>238</v>
      </c>
      <c r="U121" t="str">
        <f t="shared" si="3"/>
        <v>Chasing Won</v>
      </c>
      <c r="X121" t="str">
        <f t="shared" si="4"/>
        <v>Yes</v>
      </c>
      <c r="AA121" t="str">
        <f t="shared" si="5"/>
        <v>2009</v>
      </c>
    </row>
    <row r="122" spans="1:27" x14ac:dyDescent="0.35">
      <c r="A122">
        <v>121</v>
      </c>
      <c r="B122" t="s">
        <v>230</v>
      </c>
      <c r="C122" t="s">
        <v>231</v>
      </c>
      <c r="D122" t="s">
        <v>236</v>
      </c>
      <c r="E122" t="s">
        <v>37</v>
      </c>
      <c r="F122" t="s">
        <v>154</v>
      </c>
      <c r="G122" t="s">
        <v>37</v>
      </c>
      <c r="H122" t="s">
        <v>50</v>
      </c>
      <c r="I122" t="s">
        <v>23</v>
      </c>
      <c r="J122">
        <v>0</v>
      </c>
      <c r="K122" t="s">
        <v>154</v>
      </c>
      <c r="L122">
        <v>0</v>
      </c>
      <c r="M122">
        <v>8</v>
      </c>
      <c r="N122" t="s">
        <v>239</v>
      </c>
      <c r="O122" t="s">
        <v>234</v>
      </c>
      <c r="P122" t="s">
        <v>144</v>
      </c>
      <c r="Q122" t="s">
        <v>184</v>
      </c>
      <c r="U122" t="str">
        <f t="shared" si="3"/>
        <v>Chasing Won</v>
      </c>
      <c r="X122" t="str">
        <f t="shared" si="4"/>
        <v>No</v>
      </c>
      <c r="AA122" t="str">
        <f t="shared" si="5"/>
        <v>2009</v>
      </c>
    </row>
    <row r="123" spans="1:27" x14ac:dyDescent="0.35">
      <c r="A123">
        <v>122</v>
      </c>
      <c r="B123" t="s">
        <v>230</v>
      </c>
      <c r="C123" t="s">
        <v>240</v>
      </c>
      <c r="D123" t="s">
        <v>241</v>
      </c>
      <c r="E123" t="s">
        <v>141</v>
      </c>
      <c r="F123" t="s">
        <v>21</v>
      </c>
      <c r="G123" t="s">
        <v>141</v>
      </c>
      <c r="H123" t="s">
        <v>50</v>
      </c>
      <c r="I123" t="s">
        <v>23</v>
      </c>
      <c r="J123">
        <v>0</v>
      </c>
      <c r="K123" t="s">
        <v>141</v>
      </c>
      <c r="L123">
        <v>92</v>
      </c>
      <c r="M123">
        <v>0</v>
      </c>
      <c r="N123" t="s">
        <v>242</v>
      </c>
      <c r="O123" t="s">
        <v>243</v>
      </c>
      <c r="P123" t="s">
        <v>202</v>
      </c>
      <c r="Q123" t="s">
        <v>244</v>
      </c>
      <c r="U123" t="str">
        <f t="shared" si="3"/>
        <v>Batting First Won</v>
      </c>
      <c r="X123" t="str">
        <f t="shared" si="4"/>
        <v>Yes</v>
      </c>
      <c r="AA123" t="str">
        <f t="shared" si="5"/>
        <v>2009</v>
      </c>
    </row>
    <row r="124" spans="1:27" x14ac:dyDescent="0.35">
      <c r="A124">
        <v>123</v>
      </c>
      <c r="B124" t="s">
        <v>230</v>
      </c>
      <c r="C124" t="s">
        <v>245</v>
      </c>
      <c r="D124" t="s">
        <v>246</v>
      </c>
      <c r="E124" t="s">
        <v>43</v>
      </c>
      <c r="F124" t="s">
        <v>37</v>
      </c>
      <c r="G124" t="s">
        <v>37</v>
      </c>
      <c r="H124" t="s">
        <v>22</v>
      </c>
      <c r="I124" t="s">
        <v>23</v>
      </c>
      <c r="J124">
        <v>1</v>
      </c>
      <c r="K124" t="s">
        <v>37</v>
      </c>
      <c r="L124">
        <v>11</v>
      </c>
      <c r="M124">
        <v>0</v>
      </c>
      <c r="N124" t="s">
        <v>81</v>
      </c>
      <c r="O124" t="s">
        <v>247</v>
      </c>
      <c r="P124" t="s">
        <v>153</v>
      </c>
      <c r="Q124" t="s">
        <v>238</v>
      </c>
      <c r="U124" t="str">
        <f t="shared" si="3"/>
        <v>Batting First Won</v>
      </c>
      <c r="X124" t="str">
        <f t="shared" si="4"/>
        <v>Yes</v>
      </c>
      <c r="AA124" t="str">
        <f t="shared" si="5"/>
        <v>2009</v>
      </c>
    </row>
    <row r="125" spans="1:27" x14ac:dyDescent="0.35">
      <c r="A125">
        <v>124</v>
      </c>
      <c r="B125" t="s">
        <v>230</v>
      </c>
      <c r="C125" t="s">
        <v>231</v>
      </c>
      <c r="D125" t="s">
        <v>248</v>
      </c>
      <c r="E125" t="s">
        <v>154</v>
      </c>
      <c r="F125" t="s">
        <v>21</v>
      </c>
      <c r="G125" t="s">
        <v>154</v>
      </c>
      <c r="H125" t="s">
        <v>50</v>
      </c>
      <c r="I125" t="s">
        <v>23</v>
      </c>
      <c r="J125">
        <v>0</v>
      </c>
      <c r="K125" t="s">
        <v>154</v>
      </c>
      <c r="L125">
        <v>24</v>
      </c>
      <c r="M125">
        <v>0</v>
      </c>
      <c r="N125" t="s">
        <v>179</v>
      </c>
      <c r="O125" t="s">
        <v>234</v>
      </c>
      <c r="P125" t="s">
        <v>88</v>
      </c>
      <c r="Q125" t="s">
        <v>166</v>
      </c>
      <c r="U125" t="str">
        <f t="shared" si="3"/>
        <v>Batting First Won</v>
      </c>
      <c r="X125" t="str">
        <f t="shared" si="4"/>
        <v>Yes</v>
      </c>
      <c r="AA125" t="str">
        <f t="shared" si="5"/>
        <v>2009</v>
      </c>
    </row>
    <row r="126" spans="1:27" x14ac:dyDescent="0.35">
      <c r="A126">
        <v>125</v>
      </c>
      <c r="B126" t="s">
        <v>230</v>
      </c>
      <c r="C126" t="s">
        <v>245</v>
      </c>
      <c r="D126" t="s">
        <v>249</v>
      </c>
      <c r="E126" t="s">
        <v>49</v>
      </c>
      <c r="F126" t="s">
        <v>141</v>
      </c>
      <c r="G126" t="s">
        <v>49</v>
      </c>
      <c r="H126" t="s">
        <v>50</v>
      </c>
      <c r="I126" t="s">
        <v>23</v>
      </c>
      <c r="J126">
        <v>0</v>
      </c>
      <c r="K126" t="s">
        <v>49</v>
      </c>
      <c r="L126">
        <v>9</v>
      </c>
      <c r="M126">
        <v>0</v>
      </c>
      <c r="N126" t="s">
        <v>250</v>
      </c>
      <c r="O126" t="s">
        <v>247</v>
      </c>
      <c r="P126" t="s">
        <v>184</v>
      </c>
      <c r="Q126" t="s">
        <v>244</v>
      </c>
      <c r="U126" t="str">
        <f t="shared" si="3"/>
        <v>Batting First Won</v>
      </c>
      <c r="X126" t="str">
        <f t="shared" si="4"/>
        <v>Yes</v>
      </c>
      <c r="AA126" t="str">
        <f t="shared" si="5"/>
        <v>2009</v>
      </c>
    </row>
    <row r="127" spans="1:27" x14ac:dyDescent="0.35">
      <c r="A127">
        <v>126</v>
      </c>
      <c r="B127" t="s">
        <v>230</v>
      </c>
      <c r="C127" t="s">
        <v>231</v>
      </c>
      <c r="D127" t="s">
        <v>249</v>
      </c>
      <c r="E127" t="s">
        <v>146</v>
      </c>
      <c r="F127" t="s">
        <v>37</v>
      </c>
      <c r="G127" t="s">
        <v>37</v>
      </c>
      <c r="H127" t="s">
        <v>22</v>
      </c>
      <c r="I127" t="s">
        <v>105</v>
      </c>
      <c r="J127">
        <v>0</v>
      </c>
      <c r="K127" t="s">
        <v>146</v>
      </c>
      <c r="L127">
        <v>0</v>
      </c>
      <c r="M127">
        <v>0</v>
      </c>
      <c r="N127" t="s">
        <v>172</v>
      </c>
      <c r="O127" t="s">
        <v>234</v>
      </c>
      <c r="P127" t="s">
        <v>144</v>
      </c>
      <c r="Q127" t="s">
        <v>88</v>
      </c>
      <c r="U127" t="str">
        <f t="shared" si="3"/>
        <v>Chasing Won</v>
      </c>
      <c r="X127" t="str">
        <f t="shared" si="4"/>
        <v>No</v>
      </c>
      <c r="AA127" t="str">
        <f t="shared" si="5"/>
        <v>2009</v>
      </c>
    </row>
    <row r="128" spans="1:27" x14ac:dyDescent="0.35">
      <c r="A128">
        <v>127</v>
      </c>
      <c r="B128" t="s">
        <v>230</v>
      </c>
      <c r="C128" t="s">
        <v>245</v>
      </c>
      <c r="D128" t="s">
        <v>251</v>
      </c>
      <c r="E128" t="s">
        <v>21</v>
      </c>
      <c r="F128" t="s">
        <v>43</v>
      </c>
      <c r="G128" t="s">
        <v>21</v>
      </c>
      <c r="H128" t="s">
        <v>50</v>
      </c>
      <c r="I128" t="s">
        <v>23</v>
      </c>
      <c r="J128">
        <v>0</v>
      </c>
      <c r="K128" t="s">
        <v>43</v>
      </c>
      <c r="L128">
        <v>0</v>
      </c>
      <c r="M128">
        <v>7</v>
      </c>
      <c r="N128" t="s">
        <v>252</v>
      </c>
      <c r="O128" t="s">
        <v>247</v>
      </c>
      <c r="P128" t="s">
        <v>184</v>
      </c>
      <c r="Q128" t="s">
        <v>253</v>
      </c>
      <c r="U128" t="str">
        <f t="shared" si="3"/>
        <v>Chasing Won</v>
      </c>
      <c r="X128" t="str">
        <f t="shared" si="4"/>
        <v>No</v>
      </c>
      <c r="AA128" t="str">
        <f t="shared" si="5"/>
        <v>2009</v>
      </c>
    </row>
    <row r="129" spans="1:27" x14ac:dyDescent="0.35">
      <c r="A129">
        <v>128</v>
      </c>
      <c r="B129" t="s">
        <v>230</v>
      </c>
      <c r="C129" t="s">
        <v>245</v>
      </c>
      <c r="D129" t="s">
        <v>254</v>
      </c>
      <c r="E129" t="s">
        <v>154</v>
      </c>
      <c r="F129" t="s">
        <v>29</v>
      </c>
      <c r="G129" t="s">
        <v>154</v>
      </c>
      <c r="H129" t="s">
        <v>50</v>
      </c>
      <c r="I129" t="s">
        <v>23</v>
      </c>
      <c r="J129">
        <v>0</v>
      </c>
      <c r="K129" t="s">
        <v>154</v>
      </c>
      <c r="L129">
        <v>12</v>
      </c>
      <c r="M129">
        <v>0</v>
      </c>
      <c r="N129" t="s">
        <v>255</v>
      </c>
      <c r="O129" t="s">
        <v>247</v>
      </c>
      <c r="P129" t="s">
        <v>256</v>
      </c>
      <c r="Q129" t="s">
        <v>244</v>
      </c>
      <c r="U129" t="str">
        <f t="shared" si="3"/>
        <v>Batting First Won</v>
      </c>
      <c r="X129" t="str">
        <f t="shared" si="4"/>
        <v>Yes</v>
      </c>
      <c r="AA129" t="str">
        <f t="shared" si="5"/>
        <v>2009</v>
      </c>
    </row>
    <row r="130" spans="1:27" x14ac:dyDescent="0.35">
      <c r="A130">
        <v>129</v>
      </c>
      <c r="B130" t="s">
        <v>230</v>
      </c>
      <c r="C130" t="s">
        <v>240</v>
      </c>
      <c r="D130" t="s">
        <v>257</v>
      </c>
      <c r="E130" t="s">
        <v>21</v>
      </c>
      <c r="F130" t="s">
        <v>49</v>
      </c>
      <c r="G130" t="s">
        <v>21</v>
      </c>
      <c r="H130" t="s">
        <v>50</v>
      </c>
      <c r="I130" t="s">
        <v>23</v>
      </c>
      <c r="J130">
        <v>0</v>
      </c>
      <c r="K130" t="s">
        <v>49</v>
      </c>
      <c r="L130">
        <v>0</v>
      </c>
      <c r="M130">
        <v>6</v>
      </c>
      <c r="N130" t="s">
        <v>258</v>
      </c>
      <c r="O130" t="s">
        <v>243</v>
      </c>
      <c r="P130" t="s">
        <v>259</v>
      </c>
      <c r="Q130" t="s">
        <v>202</v>
      </c>
      <c r="U130" t="str">
        <f t="shared" si="3"/>
        <v>Chasing Won</v>
      </c>
      <c r="X130" t="str">
        <f t="shared" si="4"/>
        <v>No</v>
      </c>
      <c r="AA130" t="str">
        <f t="shared" si="5"/>
        <v>2009</v>
      </c>
    </row>
    <row r="131" spans="1:27" x14ac:dyDescent="0.35">
      <c r="A131">
        <v>130</v>
      </c>
      <c r="B131" t="s">
        <v>230</v>
      </c>
      <c r="C131" t="s">
        <v>231</v>
      </c>
      <c r="D131" t="s">
        <v>257</v>
      </c>
      <c r="E131" t="s">
        <v>43</v>
      </c>
      <c r="F131" t="s">
        <v>146</v>
      </c>
      <c r="G131" t="s">
        <v>43</v>
      </c>
      <c r="H131" t="s">
        <v>50</v>
      </c>
      <c r="I131" t="s">
        <v>23</v>
      </c>
      <c r="J131">
        <v>0</v>
      </c>
      <c r="K131" t="s">
        <v>43</v>
      </c>
      <c r="L131">
        <v>27</v>
      </c>
      <c r="M131">
        <v>0</v>
      </c>
      <c r="N131" t="s">
        <v>174</v>
      </c>
      <c r="O131" t="s">
        <v>234</v>
      </c>
      <c r="P131" t="s">
        <v>88</v>
      </c>
      <c r="Q131" t="s">
        <v>157</v>
      </c>
      <c r="U131" t="str">
        <f t="shared" ref="U131:U194" si="6">IF(L131&gt;0,"Batting First Won","Chasing Won")</f>
        <v>Batting First Won</v>
      </c>
      <c r="X131" t="str">
        <f t="shared" ref="X131:X194" si="7">IF(G131=K131,"Yes","No")</f>
        <v>Yes</v>
      </c>
      <c r="AA131" t="str">
        <f t="shared" ref="AA131:AA194" si="8">RIGHT(B131,4)</f>
        <v>2009</v>
      </c>
    </row>
    <row r="132" spans="1:27" x14ac:dyDescent="0.35">
      <c r="A132">
        <v>131</v>
      </c>
      <c r="B132" t="s">
        <v>230</v>
      </c>
      <c r="C132" t="s">
        <v>245</v>
      </c>
      <c r="D132" t="s">
        <v>260</v>
      </c>
      <c r="E132" t="s">
        <v>141</v>
      </c>
      <c r="F132" t="s">
        <v>154</v>
      </c>
      <c r="G132" t="s">
        <v>154</v>
      </c>
      <c r="H132" t="s">
        <v>22</v>
      </c>
      <c r="I132" t="s">
        <v>23</v>
      </c>
      <c r="J132">
        <v>0</v>
      </c>
      <c r="K132" t="s">
        <v>154</v>
      </c>
      <c r="L132">
        <v>0</v>
      </c>
      <c r="M132">
        <v>6</v>
      </c>
      <c r="N132" t="s">
        <v>261</v>
      </c>
      <c r="O132" t="s">
        <v>247</v>
      </c>
      <c r="P132" t="s">
        <v>165</v>
      </c>
      <c r="Q132" t="s">
        <v>253</v>
      </c>
      <c r="U132" t="str">
        <f t="shared" si="6"/>
        <v>Chasing Won</v>
      </c>
      <c r="X132" t="str">
        <f t="shared" si="7"/>
        <v>Yes</v>
      </c>
      <c r="AA132" t="str">
        <f t="shared" si="8"/>
        <v>2009</v>
      </c>
    </row>
    <row r="133" spans="1:27" x14ac:dyDescent="0.35">
      <c r="A133">
        <v>132</v>
      </c>
      <c r="B133" t="s">
        <v>230</v>
      </c>
      <c r="C133" t="s">
        <v>240</v>
      </c>
      <c r="D133" t="s">
        <v>260</v>
      </c>
      <c r="E133" t="s">
        <v>29</v>
      </c>
      <c r="F133" t="s">
        <v>37</v>
      </c>
      <c r="G133" t="s">
        <v>29</v>
      </c>
      <c r="H133" t="s">
        <v>50</v>
      </c>
      <c r="I133" t="s">
        <v>23</v>
      </c>
      <c r="J133">
        <v>0</v>
      </c>
      <c r="K133" t="s">
        <v>29</v>
      </c>
      <c r="L133">
        <v>92</v>
      </c>
      <c r="M133">
        <v>0</v>
      </c>
      <c r="N133" t="s">
        <v>233</v>
      </c>
      <c r="O133" t="s">
        <v>243</v>
      </c>
      <c r="P133" t="s">
        <v>202</v>
      </c>
      <c r="Q133" t="s">
        <v>162</v>
      </c>
      <c r="U133" t="str">
        <f t="shared" si="6"/>
        <v>Batting First Won</v>
      </c>
      <c r="X133" t="str">
        <f t="shared" si="7"/>
        <v>Yes</v>
      </c>
      <c r="AA133" t="str">
        <f t="shared" si="8"/>
        <v>2009</v>
      </c>
    </row>
    <row r="134" spans="1:27" x14ac:dyDescent="0.35">
      <c r="A134">
        <v>133</v>
      </c>
      <c r="B134" t="s">
        <v>230</v>
      </c>
      <c r="C134" t="s">
        <v>262</v>
      </c>
      <c r="D134" t="s">
        <v>263</v>
      </c>
      <c r="E134" t="s">
        <v>49</v>
      </c>
      <c r="F134" t="s">
        <v>146</v>
      </c>
      <c r="G134" t="s">
        <v>49</v>
      </c>
      <c r="H134" t="s">
        <v>50</v>
      </c>
      <c r="I134" t="s">
        <v>23</v>
      </c>
      <c r="J134">
        <v>0</v>
      </c>
      <c r="K134" t="s">
        <v>146</v>
      </c>
      <c r="L134">
        <v>0</v>
      </c>
      <c r="M134">
        <v>5</v>
      </c>
      <c r="N134" t="s">
        <v>172</v>
      </c>
      <c r="O134" t="s">
        <v>264</v>
      </c>
      <c r="P134" t="s">
        <v>265</v>
      </c>
      <c r="Q134" t="s">
        <v>139</v>
      </c>
      <c r="U134" t="str">
        <f t="shared" si="6"/>
        <v>Chasing Won</v>
      </c>
      <c r="X134" t="str">
        <f t="shared" si="7"/>
        <v>No</v>
      </c>
      <c r="AA134" t="str">
        <f t="shared" si="8"/>
        <v>2009</v>
      </c>
    </row>
    <row r="135" spans="1:27" x14ac:dyDescent="0.35">
      <c r="A135">
        <v>134</v>
      </c>
      <c r="B135" t="s">
        <v>230</v>
      </c>
      <c r="C135" t="s">
        <v>245</v>
      </c>
      <c r="D135" t="s">
        <v>266</v>
      </c>
      <c r="E135" t="s">
        <v>37</v>
      </c>
      <c r="F135" t="s">
        <v>21</v>
      </c>
      <c r="G135" t="s">
        <v>37</v>
      </c>
      <c r="H135" t="s">
        <v>50</v>
      </c>
      <c r="I135" t="s">
        <v>23</v>
      </c>
      <c r="J135">
        <v>0</v>
      </c>
      <c r="K135" t="s">
        <v>21</v>
      </c>
      <c r="L135">
        <v>0</v>
      </c>
      <c r="M135">
        <v>5</v>
      </c>
      <c r="N135" t="s">
        <v>151</v>
      </c>
      <c r="O135" t="s">
        <v>247</v>
      </c>
      <c r="P135" t="s">
        <v>144</v>
      </c>
      <c r="Q135" t="s">
        <v>253</v>
      </c>
      <c r="U135" t="str">
        <f t="shared" si="6"/>
        <v>Chasing Won</v>
      </c>
      <c r="X135" t="str">
        <f t="shared" si="7"/>
        <v>No</v>
      </c>
      <c r="AA135" t="str">
        <f t="shared" si="8"/>
        <v>2009</v>
      </c>
    </row>
    <row r="136" spans="1:27" x14ac:dyDescent="0.35">
      <c r="A136">
        <v>135</v>
      </c>
      <c r="B136" t="s">
        <v>230</v>
      </c>
      <c r="C136" t="s">
        <v>245</v>
      </c>
      <c r="D136" t="s">
        <v>266</v>
      </c>
      <c r="E136" t="s">
        <v>43</v>
      </c>
      <c r="F136" t="s">
        <v>29</v>
      </c>
      <c r="G136" t="s">
        <v>43</v>
      </c>
      <c r="H136" t="s">
        <v>50</v>
      </c>
      <c r="I136" t="s">
        <v>23</v>
      </c>
      <c r="J136">
        <v>0</v>
      </c>
      <c r="K136" t="s">
        <v>43</v>
      </c>
      <c r="L136">
        <v>3</v>
      </c>
      <c r="M136">
        <v>0</v>
      </c>
      <c r="N136" t="s">
        <v>174</v>
      </c>
      <c r="O136" t="s">
        <v>247</v>
      </c>
      <c r="P136" t="s">
        <v>144</v>
      </c>
      <c r="Q136" t="s">
        <v>145</v>
      </c>
      <c r="U136" t="str">
        <f t="shared" si="6"/>
        <v>Batting First Won</v>
      </c>
      <c r="X136" t="str">
        <f t="shared" si="7"/>
        <v>Yes</v>
      </c>
      <c r="AA136" t="str">
        <f t="shared" si="8"/>
        <v>2009</v>
      </c>
    </row>
    <row r="137" spans="1:27" x14ac:dyDescent="0.35">
      <c r="A137">
        <v>136</v>
      </c>
      <c r="B137" t="s">
        <v>230</v>
      </c>
      <c r="C137" t="s">
        <v>262</v>
      </c>
      <c r="D137" t="s">
        <v>267</v>
      </c>
      <c r="E137" t="s">
        <v>154</v>
      </c>
      <c r="F137" t="s">
        <v>49</v>
      </c>
      <c r="G137" t="s">
        <v>49</v>
      </c>
      <c r="H137" t="s">
        <v>22</v>
      </c>
      <c r="I137" t="s">
        <v>23</v>
      </c>
      <c r="J137">
        <v>0</v>
      </c>
      <c r="K137" t="s">
        <v>49</v>
      </c>
      <c r="L137">
        <v>0</v>
      </c>
      <c r="M137">
        <v>6</v>
      </c>
      <c r="N137" t="s">
        <v>268</v>
      </c>
      <c r="O137" t="s">
        <v>264</v>
      </c>
      <c r="P137" t="s">
        <v>265</v>
      </c>
      <c r="Q137" t="s">
        <v>166</v>
      </c>
      <c r="U137" t="str">
        <f t="shared" si="6"/>
        <v>Chasing Won</v>
      </c>
      <c r="X137" t="str">
        <f t="shared" si="7"/>
        <v>Yes</v>
      </c>
      <c r="AA137" t="str">
        <f t="shared" si="8"/>
        <v>2009</v>
      </c>
    </row>
    <row r="138" spans="1:27" x14ac:dyDescent="0.35">
      <c r="A138">
        <v>137</v>
      </c>
      <c r="B138" t="s">
        <v>230</v>
      </c>
      <c r="C138" t="s">
        <v>262</v>
      </c>
      <c r="D138" t="s">
        <v>267</v>
      </c>
      <c r="E138" t="s">
        <v>141</v>
      </c>
      <c r="F138" t="s">
        <v>146</v>
      </c>
      <c r="G138" t="s">
        <v>146</v>
      </c>
      <c r="H138" t="s">
        <v>22</v>
      </c>
      <c r="I138" t="s">
        <v>23</v>
      </c>
      <c r="J138">
        <v>0</v>
      </c>
      <c r="K138" t="s">
        <v>141</v>
      </c>
      <c r="L138">
        <v>38</v>
      </c>
      <c r="M138">
        <v>0</v>
      </c>
      <c r="N138" t="s">
        <v>90</v>
      </c>
      <c r="O138" t="s">
        <v>264</v>
      </c>
      <c r="P138" t="s">
        <v>265</v>
      </c>
      <c r="Q138" t="s">
        <v>139</v>
      </c>
      <c r="U138" t="str">
        <f t="shared" si="6"/>
        <v>Batting First Won</v>
      </c>
      <c r="X138" t="str">
        <f t="shared" si="7"/>
        <v>No</v>
      </c>
      <c r="AA138" t="str">
        <f t="shared" si="8"/>
        <v>2009</v>
      </c>
    </row>
    <row r="139" spans="1:27" x14ac:dyDescent="0.35">
      <c r="A139">
        <v>138</v>
      </c>
      <c r="B139" t="s">
        <v>230</v>
      </c>
      <c r="C139" t="s">
        <v>269</v>
      </c>
      <c r="D139" s="1">
        <v>39818</v>
      </c>
      <c r="E139" t="s">
        <v>29</v>
      </c>
      <c r="F139" t="s">
        <v>37</v>
      </c>
      <c r="G139" t="s">
        <v>29</v>
      </c>
      <c r="H139" t="s">
        <v>50</v>
      </c>
      <c r="I139" t="s">
        <v>23</v>
      </c>
      <c r="J139">
        <v>0</v>
      </c>
      <c r="K139" t="s">
        <v>29</v>
      </c>
      <c r="L139">
        <v>9</v>
      </c>
      <c r="M139">
        <v>0</v>
      </c>
      <c r="N139" t="s">
        <v>270</v>
      </c>
      <c r="O139" t="s">
        <v>271</v>
      </c>
      <c r="P139" t="s">
        <v>88</v>
      </c>
      <c r="Q139" t="s">
        <v>272</v>
      </c>
      <c r="U139" t="str">
        <f t="shared" si="6"/>
        <v>Batting First Won</v>
      </c>
      <c r="X139" t="str">
        <f t="shared" si="7"/>
        <v>Yes</v>
      </c>
      <c r="AA139" t="str">
        <f t="shared" si="8"/>
        <v>2009</v>
      </c>
    </row>
    <row r="140" spans="1:27" x14ac:dyDescent="0.35">
      <c r="A140">
        <v>139</v>
      </c>
      <c r="B140" t="s">
        <v>230</v>
      </c>
      <c r="C140" t="s">
        <v>245</v>
      </c>
      <c r="D140" s="1">
        <v>39818</v>
      </c>
      <c r="E140" t="s">
        <v>21</v>
      </c>
      <c r="F140" t="s">
        <v>43</v>
      </c>
      <c r="G140" t="s">
        <v>21</v>
      </c>
      <c r="H140" t="s">
        <v>50</v>
      </c>
      <c r="I140" t="s">
        <v>23</v>
      </c>
      <c r="J140">
        <v>0</v>
      </c>
      <c r="K140" t="s">
        <v>21</v>
      </c>
      <c r="L140">
        <v>8</v>
      </c>
      <c r="M140">
        <v>0</v>
      </c>
      <c r="N140" t="s">
        <v>24</v>
      </c>
      <c r="O140" t="s">
        <v>247</v>
      </c>
      <c r="P140" t="s">
        <v>256</v>
      </c>
      <c r="Q140" t="s">
        <v>34</v>
      </c>
      <c r="U140" t="str">
        <f t="shared" si="6"/>
        <v>Batting First Won</v>
      </c>
      <c r="X140" t="str">
        <f t="shared" si="7"/>
        <v>Yes</v>
      </c>
      <c r="AA140" t="str">
        <f t="shared" si="8"/>
        <v>2009</v>
      </c>
    </row>
    <row r="141" spans="1:27" x14ac:dyDescent="0.35">
      <c r="A141">
        <v>140</v>
      </c>
      <c r="B141" t="s">
        <v>230</v>
      </c>
      <c r="C141" t="s">
        <v>240</v>
      </c>
      <c r="D141" s="1">
        <v>39849</v>
      </c>
      <c r="E141" t="s">
        <v>154</v>
      </c>
      <c r="F141" t="s">
        <v>146</v>
      </c>
      <c r="G141" t="s">
        <v>154</v>
      </c>
      <c r="H141" t="s">
        <v>50</v>
      </c>
      <c r="I141" t="s">
        <v>23</v>
      </c>
      <c r="J141">
        <v>0</v>
      </c>
      <c r="K141" t="s">
        <v>146</v>
      </c>
      <c r="L141">
        <v>0</v>
      </c>
      <c r="M141">
        <v>3</v>
      </c>
      <c r="N141" t="s">
        <v>172</v>
      </c>
      <c r="O141" t="s">
        <v>243</v>
      </c>
      <c r="P141" t="s">
        <v>259</v>
      </c>
      <c r="Q141" t="s">
        <v>202</v>
      </c>
      <c r="U141" t="str">
        <f t="shared" si="6"/>
        <v>Chasing Won</v>
      </c>
      <c r="X141" t="str">
        <f t="shared" si="7"/>
        <v>No</v>
      </c>
      <c r="AA141" t="str">
        <f t="shared" si="8"/>
        <v>2009</v>
      </c>
    </row>
    <row r="142" spans="1:27" x14ac:dyDescent="0.35">
      <c r="A142">
        <v>141</v>
      </c>
      <c r="B142" t="s">
        <v>230</v>
      </c>
      <c r="C142" t="s">
        <v>273</v>
      </c>
      <c r="D142" s="1">
        <v>39849</v>
      </c>
      <c r="E142" t="s">
        <v>141</v>
      </c>
      <c r="F142" t="s">
        <v>49</v>
      </c>
      <c r="G142" t="s">
        <v>49</v>
      </c>
      <c r="H142" t="s">
        <v>22</v>
      </c>
      <c r="I142" t="s">
        <v>23</v>
      </c>
      <c r="J142">
        <v>0</v>
      </c>
      <c r="K142" t="s">
        <v>141</v>
      </c>
      <c r="L142">
        <v>18</v>
      </c>
      <c r="M142">
        <v>0</v>
      </c>
      <c r="N142" t="s">
        <v>274</v>
      </c>
      <c r="O142" t="s">
        <v>275</v>
      </c>
      <c r="P142" t="s">
        <v>153</v>
      </c>
      <c r="Q142" t="s">
        <v>139</v>
      </c>
      <c r="U142" t="str">
        <f t="shared" si="6"/>
        <v>Batting First Won</v>
      </c>
      <c r="X142" t="str">
        <f t="shared" si="7"/>
        <v>No</v>
      </c>
      <c r="AA142" t="str">
        <f t="shared" si="8"/>
        <v>2009</v>
      </c>
    </row>
    <row r="143" spans="1:27" x14ac:dyDescent="0.35">
      <c r="A143">
        <v>142</v>
      </c>
      <c r="B143" t="s">
        <v>230</v>
      </c>
      <c r="C143" t="s">
        <v>240</v>
      </c>
      <c r="D143" s="1">
        <v>39877</v>
      </c>
      <c r="E143" t="s">
        <v>37</v>
      </c>
      <c r="F143" t="s">
        <v>43</v>
      </c>
      <c r="G143" t="s">
        <v>37</v>
      </c>
      <c r="H143" t="s">
        <v>50</v>
      </c>
      <c r="I143" t="s">
        <v>23</v>
      </c>
      <c r="J143">
        <v>0</v>
      </c>
      <c r="K143" t="s">
        <v>43</v>
      </c>
      <c r="L143">
        <v>0</v>
      </c>
      <c r="M143">
        <v>6</v>
      </c>
      <c r="N143" t="s">
        <v>210</v>
      </c>
      <c r="O143" t="s">
        <v>243</v>
      </c>
      <c r="P143" t="s">
        <v>259</v>
      </c>
      <c r="Q143" t="s">
        <v>144</v>
      </c>
      <c r="U143" t="str">
        <f t="shared" si="6"/>
        <v>Chasing Won</v>
      </c>
      <c r="X143" t="str">
        <f t="shared" si="7"/>
        <v>No</v>
      </c>
      <c r="AA143" t="str">
        <f t="shared" si="8"/>
        <v>2009</v>
      </c>
    </row>
    <row r="144" spans="1:27" x14ac:dyDescent="0.35">
      <c r="A144">
        <v>143</v>
      </c>
      <c r="B144" t="s">
        <v>230</v>
      </c>
      <c r="C144" t="s">
        <v>273</v>
      </c>
      <c r="D144" s="1">
        <v>39877</v>
      </c>
      <c r="E144" t="s">
        <v>29</v>
      </c>
      <c r="F144" t="s">
        <v>21</v>
      </c>
      <c r="G144" t="s">
        <v>29</v>
      </c>
      <c r="H144" t="s">
        <v>50</v>
      </c>
      <c r="I144" t="s">
        <v>23</v>
      </c>
      <c r="J144">
        <v>0</v>
      </c>
      <c r="K144" t="s">
        <v>21</v>
      </c>
      <c r="L144">
        <v>0</v>
      </c>
      <c r="M144">
        <v>9</v>
      </c>
      <c r="N144" t="s">
        <v>276</v>
      </c>
      <c r="O144" t="s">
        <v>275</v>
      </c>
      <c r="P144" t="s">
        <v>139</v>
      </c>
      <c r="Q144" t="s">
        <v>253</v>
      </c>
      <c r="U144" t="str">
        <f t="shared" si="6"/>
        <v>Chasing Won</v>
      </c>
      <c r="X144" t="str">
        <f t="shared" si="7"/>
        <v>No</v>
      </c>
      <c r="AA144" t="str">
        <f t="shared" si="8"/>
        <v>2009</v>
      </c>
    </row>
    <row r="145" spans="1:27" x14ac:dyDescent="0.35">
      <c r="A145">
        <v>144</v>
      </c>
      <c r="B145" t="s">
        <v>230</v>
      </c>
      <c r="C145" t="s">
        <v>269</v>
      </c>
      <c r="D145" s="1">
        <v>39908</v>
      </c>
      <c r="E145" t="s">
        <v>141</v>
      </c>
      <c r="F145" t="s">
        <v>154</v>
      </c>
      <c r="G145" t="s">
        <v>141</v>
      </c>
      <c r="H145" t="s">
        <v>50</v>
      </c>
      <c r="I145" t="s">
        <v>23</v>
      </c>
      <c r="J145">
        <v>0</v>
      </c>
      <c r="K145" t="s">
        <v>141</v>
      </c>
      <c r="L145">
        <v>78</v>
      </c>
      <c r="M145">
        <v>0</v>
      </c>
      <c r="N145" t="s">
        <v>93</v>
      </c>
      <c r="O145" t="s">
        <v>271</v>
      </c>
      <c r="P145" t="s">
        <v>184</v>
      </c>
      <c r="Q145" t="s">
        <v>88</v>
      </c>
      <c r="U145" t="str">
        <f t="shared" si="6"/>
        <v>Batting First Won</v>
      </c>
      <c r="X145" t="str">
        <f t="shared" si="7"/>
        <v>Yes</v>
      </c>
      <c r="AA145" t="str">
        <f t="shared" si="8"/>
        <v>2009</v>
      </c>
    </row>
    <row r="146" spans="1:27" x14ac:dyDescent="0.35">
      <c r="A146">
        <v>145</v>
      </c>
      <c r="B146" t="s">
        <v>230</v>
      </c>
      <c r="C146" t="s">
        <v>245</v>
      </c>
      <c r="D146" s="1">
        <v>39938</v>
      </c>
      <c r="E146" t="s">
        <v>146</v>
      </c>
      <c r="F146" t="s">
        <v>43</v>
      </c>
      <c r="G146" t="s">
        <v>43</v>
      </c>
      <c r="H146" t="s">
        <v>22</v>
      </c>
      <c r="I146" t="s">
        <v>23</v>
      </c>
      <c r="J146">
        <v>0</v>
      </c>
      <c r="K146" t="s">
        <v>146</v>
      </c>
      <c r="L146">
        <v>78</v>
      </c>
      <c r="M146">
        <v>0</v>
      </c>
      <c r="N146" t="s">
        <v>211</v>
      </c>
      <c r="O146" t="s">
        <v>247</v>
      </c>
      <c r="P146" t="s">
        <v>277</v>
      </c>
      <c r="Q146" t="s">
        <v>165</v>
      </c>
      <c r="U146" t="str">
        <f t="shared" si="6"/>
        <v>Batting First Won</v>
      </c>
      <c r="X146" t="str">
        <f t="shared" si="7"/>
        <v>No</v>
      </c>
      <c r="AA146" t="str">
        <f t="shared" si="8"/>
        <v>2009</v>
      </c>
    </row>
    <row r="147" spans="1:27" x14ac:dyDescent="0.35">
      <c r="A147">
        <v>146</v>
      </c>
      <c r="B147" t="s">
        <v>230</v>
      </c>
      <c r="C147" t="s">
        <v>245</v>
      </c>
      <c r="D147" s="1">
        <v>39938</v>
      </c>
      <c r="E147" t="s">
        <v>37</v>
      </c>
      <c r="F147" t="s">
        <v>49</v>
      </c>
      <c r="G147" t="s">
        <v>37</v>
      </c>
      <c r="H147" t="s">
        <v>50</v>
      </c>
      <c r="I147" t="s">
        <v>23</v>
      </c>
      <c r="J147">
        <v>0</v>
      </c>
      <c r="K147" t="s">
        <v>49</v>
      </c>
      <c r="L147">
        <v>0</v>
      </c>
      <c r="M147">
        <v>9</v>
      </c>
      <c r="N147" t="s">
        <v>100</v>
      </c>
      <c r="O147" t="s">
        <v>247</v>
      </c>
      <c r="P147" t="s">
        <v>265</v>
      </c>
      <c r="Q147" t="s">
        <v>165</v>
      </c>
      <c r="U147" t="str">
        <f t="shared" si="6"/>
        <v>Chasing Won</v>
      </c>
      <c r="X147" t="str">
        <f t="shared" si="7"/>
        <v>No</v>
      </c>
      <c r="AA147" t="str">
        <f t="shared" si="8"/>
        <v>2009</v>
      </c>
    </row>
    <row r="148" spans="1:27" x14ac:dyDescent="0.35">
      <c r="A148">
        <v>147</v>
      </c>
      <c r="B148" t="s">
        <v>230</v>
      </c>
      <c r="C148" t="s">
        <v>262</v>
      </c>
      <c r="D148" s="1">
        <v>39969</v>
      </c>
      <c r="E148" t="s">
        <v>154</v>
      </c>
      <c r="F148" t="s">
        <v>29</v>
      </c>
      <c r="G148" t="s">
        <v>154</v>
      </c>
      <c r="H148" t="s">
        <v>50</v>
      </c>
      <c r="I148" t="s">
        <v>23</v>
      </c>
      <c r="J148">
        <v>0</v>
      </c>
      <c r="K148" t="s">
        <v>154</v>
      </c>
      <c r="L148">
        <v>19</v>
      </c>
      <c r="M148">
        <v>0</v>
      </c>
      <c r="N148" t="s">
        <v>110</v>
      </c>
      <c r="O148" t="s">
        <v>264</v>
      </c>
      <c r="P148" t="s">
        <v>144</v>
      </c>
      <c r="Q148" t="s">
        <v>256</v>
      </c>
      <c r="U148" t="str">
        <f t="shared" si="6"/>
        <v>Batting First Won</v>
      </c>
      <c r="X148" t="str">
        <f t="shared" si="7"/>
        <v>Yes</v>
      </c>
      <c r="AA148" t="str">
        <f t="shared" si="8"/>
        <v>2009</v>
      </c>
    </row>
    <row r="149" spans="1:27" x14ac:dyDescent="0.35">
      <c r="A149">
        <v>148</v>
      </c>
      <c r="B149" t="s">
        <v>230</v>
      </c>
      <c r="C149" t="s">
        <v>262</v>
      </c>
      <c r="D149" s="1">
        <v>39999</v>
      </c>
      <c r="E149" t="s">
        <v>21</v>
      </c>
      <c r="F149" t="s">
        <v>146</v>
      </c>
      <c r="G149" t="s">
        <v>146</v>
      </c>
      <c r="H149" t="s">
        <v>22</v>
      </c>
      <c r="I149" t="s">
        <v>23</v>
      </c>
      <c r="J149">
        <v>0</v>
      </c>
      <c r="K149" t="s">
        <v>146</v>
      </c>
      <c r="L149">
        <v>0</v>
      </c>
      <c r="M149">
        <v>7</v>
      </c>
      <c r="N149" t="s">
        <v>278</v>
      </c>
      <c r="O149" t="s">
        <v>264</v>
      </c>
      <c r="P149" t="s">
        <v>157</v>
      </c>
      <c r="Q149" t="s">
        <v>153</v>
      </c>
      <c r="U149" t="str">
        <f t="shared" si="6"/>
        <v>Chasing Won</v>
      </c>
      <c r="X149" t="str">
        <f t="shared" si="7"/>
        <v>Yes</v>
      </c>
      <c r="AA149" t="str">
        <f t="shared" si="8"/>
        <v>2009</v>
      </c>
    </row>
    <row r="150" spans="1:27" x14ac:dyDescent="0.35">
      <c r="A150">
        <v>149</v>
      </c>
      <c r="B150" t="s">
        <v>230</v>
      </c>
      <c r="C150" t="s">
        <v>262</v>
      </c>
      <c r="D150" s="1">
        <v>39999</v>
      </c>
      <c r="E150" t="s">
        <v>141</v>
      </c>
      <c r="F150" t="s">
        <v>43</v>
      </c>
      <c r="G150" t="s">
        <v>141</v>
      </c>
      <c r="H150" t="s">
        <v>50</v>
      </c>
      <c r="I150" t="s">
        <v>23</v>
      </c>
      <c r="J150">
        <v>1</v>
      </c>
      <c r="K150" t="s">
        <v>141</v>
      </c>
      <c r="L150">
        <v>12</v>
      </c>
      <c r="M150">
        <v>0</v>
      </c>
      <c r="N150" t="s">
        <v>169</v>
      </c>
      <c r="O150" t="s">
        <v>264</v>
      </c>
      <c r="P150" t="s">
        <v>153</v>
      </c>
      <c r="Q150" t="s">
        <v>253</v>
      </c>
      <c r="U150" t="str">
        <f t="shared" si="6"/>
        <v>Batting First Won</v>
      </c>
      <c r="X150" t="str">
        <f t="shared" si="7"/>
        <v>Yes</v>
      </c>
      <c r="AA150" t="str">
        <f t="shared" si="8"/>
        <v>2009</v>
      </c>
    </row>
    <row r="151" spans="1:27" x14ac:dyDescent="0.35">
      <c r="A151">
        <v>150</v>
      </c>
      <c r="B151" t="s">
        <v>230</v>
      </c>
      <c r="C151" t="s">
        <v>269</v>
      </c>
      <c r="D151" s="1">
        <v>40030</v>
      </c>
      <c r="E151" t="s">
        <v>29</v>
      </c>
      <c r="F151" t="s">
        <v>49</v>
      </c>
      <c r="G151" t="s">
        <v>29</v>
      </c>
      <c r="H151" t="s">
        <v>50</v>
      </c>
      <c r="I151" t="s">
        <v>23</v>
      </c>
      <c r="J151">
        <v>0</v>
      </c>
      <c r="K151" t="s">
        <v>49</v>
      </c>
      <c r="L151">
        <v>0</v>
      </c>
      <c r="M151">
        <v>7</v>
      </c>
      <c r="N151" t="s">
        <v>197</v>
      </c>
      <c r="O151" t="s">
        <v>271</v>
      </c>
      <c r="P151" t="s">
        <v>88</v>
      </c>
      <c r="Q151" t="s">
        <v>272</v>
      </c>
      <c r="U151" t="str">
        <f t="shared" si="6"/>
        <v>Chasing Won</v>
      </c>
      <c r="X151" t="str">
        <f t="shared" si="7"/>
        <v>No</v>
      </c>
      <c r="AA151" t="str">
        <f t="shared" si="8"/>
        <v>2009</v>
      </c>
    </row>
    <row r="152" spans="1:27" x14ac:dyDescent="0.35">
      <c r="A152">
        <v>151</v>
      </c>
      <c r="B152" t="s">
        <v>230</v>
      </c>
      <c r="C152" t="s">
        <v>279</v>
      </c>
      <c r="D152" s="1">
        <v>40061</v>
      </c>
      <c r="E152" t="s">
        <v>154</v>
      </c>
      <c r="F152" t="s">
        <v>43</v>
      </c>
      <c r="G152" t="s">
        <v>43</v>
      </c>
      <c r="H152" t="s">
        <v>22</v>
      </c>
      <c r="I152" t="s">
        <v>23</v>
      </c>
      <c r="J152">
        <v>0</v>
      </c>
      <c r="K152" t="s">
        <v>43</v>
      </c>
      <c r="L152">
        <v>0</v>
      </c>
      <c r="M152">
        <v>3</v>
      </c>
      <c r="N152" t="s">
        <v>210</v>
      </c>
      <c r="O152" t="s">
        <v>280</v>
      </c>
      <c r="P152" t="s">
        <v>265</v>
      </c>
      <c r="Q152" t="s">
        <v>166</v>
      </c>
      <c r="U152" t="str">
        <f t="shared" si="6"/>
        <v>Chasing Won</v>
      </c>
      <c r="X152" t="str">
        <f t="shared" si="7"/>
        <v>Yes</v>
      </c>
      <c r="AA152" t="str">
        <f t="shared" si="8"/>
        <v>2009</v>
      </c>
    </row>
    <row r="153" spans="1:27" x14ac:dyDescent="0.35">
      <c r="A153">
        <v>152</v>
      </c>
      <c r="B153" t="s">
        <v>230</v>
      </c>
      <c r="C153" t="s">
        <v>279</v>
      </c>
      <c r="D153" s="1">
        <v>40061</v>
      </c>
      <c r="E153" t="s">
        <v>146</v>
      </c>
      <c r="F153" t="s">
        <v>141</v>
      </c>
      <c r="G153" t="s">
        <v>146</v>
      </c>
      <c r="H153" t="s">
        <v>50</v>
      </c>
      <c r="I153" t="s">
        <v>23</v>
      </c>
      <c r="J153">
        <v>0</v>
      </c>
      <c r="K153" t="s">
        <v>141</v>
      </c>
      <c r="L153">
        <v>0</v>
      </c>
      <c r="M153">
        <v>7</v>
      </c>
      <c r="N153" t="s">
        <v>281</v>
      </c>
      <c r="O153" t="s">
        <v>280</v>
      </c>
      <c r="P153" t="s">
        <v>265</v>
      </c>
      <c r="Q153" t="s">
        <v>256</v>
      </c>
      <c r="U153" t="str">
        <f t="shared" si="6"/>
        <v>Chasing Won</v>
      </c>
      <c r="X153" t="str">
        <f t="shared" si="7"/>
        <v>No</v>
      </c>
      <c r="AA153" t="str">
        <f t="shared" si="8"/>
        <v>2009</v>
      </c>
    </row>
    <row r="154" spans="1:27" x14ac:dyDescent="0.35">
      <c r="A154">
        <v>153</v>
      </c>
      <c r="B154" t="s">
        <v>230</v>
      </c>
      <c r="C154" t="s">
        <v>240</v>
      </c>
      <c r="D154" s="1">
        <v>40091</v>
      </c>
      <c r="E154" t="s">
        <v>29</v>
      </c>
      <c r="F154" t="s">
        <v>21</v>
      </c>
      <c r="G154" t="s">
        <v>29</v>
      </c>
      <c r="H154" t="s">
        <v>50</v>
      </c>
      <c r="I154" t="s">
        <v>23</v>
      </c>
      <c r="J154">
        <v>0</v>
      </c>
      <c r="K154" t="s">
        <v>29</v>
      </c>
      <c r="L154">
        <v>16</v>
      </c>
      <c r="M154">
        <v>0</v>
      </c>
      <c r="N154" t="s">
        <v>270</v>
      </c>
      <c r="O154" t="s">
        <v>243</v>
      </c>
      <c r="P154" t="s">
        <v>184</v>
      </c>
      <c r="Q154" t="s">
        <v>202</v>
      </c>
      <c r="U154" t="str">
        <f t="shared" si="6"/>
        <v>Batting First Won</v>
      </c>
      <c r="X154" t="str">
        <f t="shared" si="7"/>
        <v>Yes</v>
      </c>
      <c r="AA154" t="str">
        <f t="shared" si="8"/>
        <v>2009</v>
      </c>
    </row>
    <row r="155" spans="1:27" x14ac:dyDescent="0.35">
      <c r="A155">
        <v>154</v>
      </c>
      <c r="B155" t="s">
        <v>230</v>
      </c>
      <c r="C155" t="s">
        <v>273</v>
      </c>
      <c r="D155" s="1">
        <v>40091</v>
      </c>
      <c r="E155" t="s">
        <v>37</v>
      </c>
      <c r="F155" t="s">
        <v>49</v>
      </c>
      <c r="G155" t="s">
        <v>49</v>
      </c>
      <c r="H155" t="s">
        <v>22</v>
      </c>
      <c r="I155" t="s">
        <v>23</v>
      </c>
      <c r="J155">
        <v>0</v>
      </c>
      <c r="K155" t="s">
        <v>49</v>
      </c>
      <c r="L155">
        <v>0</v>
      </c>
      <c r="M155">
        <v>7</v>
      </c>
      <c r="N155" t="s">
        <v>207</v>
      </c>
      <c r="O155" t="s">
        <v>275</v>
      </c>
      <c r="P155" t="s">
        <v>145</v>
      </c>
      <c r="Q155" t="s">
        <v>162</v>
      </c>
      <c r="U155" t="str">
        <f t="shared" si="6"/>
        <v>Chasing Won</v>
      </c>
      <c r="X155" t="str">
        <f t="shared" si="7"/>
        <v>Yes</v>
      </c>
      <c r="AA155" t="str">
        <f t="shared" si="8"/>
        <v>2009</v>
      </c>
    </row>
    <row r="156" spans="1:27" x14ac:dyDescent="0.35">
      <c r="A156">
        <v>155</v>
      </c>
      <c r="B156" t="s">
        <v>230</v>
      </c>
      <c r="C156" t="s">
        <v>279</v>
      </c>
      <c r="D156" s="1">
        <v>40122</v>
      </c>
      <c r="E156" t="s">
        <v>154</v>
      </c>
      <c r="F156" t="s">
        <v>146</v>
      </c>
      <c r="G156" t="s">
        <v>154</v>
      </c>
      <c r="H156" t="s">
        <v>50</v>
      </c>
      <c r="I156" t="s">
        <v>23</v>
      </c>
      <c r="J156">
        <v>0</v>
      </c>
      <c r="K156" t="s">
        <v>154</v>
      </c>
      <c r="L156">
        <v>53</v>
      </c>
      <c r="M156">
        <v>0</v>
      </c>
      <c r="N156" t="s">
        <v>116</v>
      </c>
      <c r="O156" t="s">
        <v>280</v>
      </c>
      <c r="P156" t="s">
        <v>265</v>
      </c>
      <c r="Q156" t="s">
        <v>256</v>
      </c>
      <c r="U156" t="str">
        <f t="shared" si="6"/>
        <v>Batting First Won</v>
      </c>
      <c r="X156" t="str">
        <f t="shared" si="7"/>
        <v>Yes</v>
      </c>
      <c r="AA156" t="str">
        <f t="shared" si="8"/>
        <v>2009</v>
      </c>
    </row>
    <row r="157" spans="1:27" x14ac:dyDescent="0.35">
      <c r="A157">
        <v>156</v>
      </c>
      <c r="B157" t="s">
        <v>230</v>
      </c>
      <c r="C157" t="s">
        <v>262</v>
      </c>
      <c r="D157" s="1">
        <v>40152</v>
      </c>
      <c r="E157" t="s">
        <v>37</v>
      </c>
      <c r="F157" t="s">
        <v>21</v>
      </c>
      <c r="G157" t="s">
        <v>21</v>
      </c>
      <c r="H157" t="s">
        <v>22</v>
      </c>
      <c r="I157" t="s">
        <v>23</v>
      </c>
      <c r="J157">
        <v>0</v>
      </c>
      <c r="K157" t="s">
        <v>21</v>
      </c>
      <c r="L157">
        <v>0</v>
      </c>
      <c r="M157">
        <v>6</v>
      </c>
      <c r="N157" t="s">
        <v>282</v>
      </c>
      <c r="O157" t="s">
        <v>264</v>
      </c>
      <c r="P157" t="s">
        <v>88</v>
      </c>
      <c r="Q157" t="s">
        <v>277</v>
      </c>
      <c r="U157" t="str">
        <f t="shared" si="6"/>
        <v>Chasing Won</v>
      </c>
      <c r="X157" t="str">
        <f t="shared" si="7"/>
        <v>Yes</v>
      </c>
      <c r="AA157" t="str">
        <f t="shared" si="8"/>
        <v>2009</v>
      </c>
    </row>
    <row r="158" spans="1:27" x14ac:dyDescent="0.35">
      <c r="A158">
        <v>157</v>
      </c>
      <c r="B158" t="s">
        <v>230</v>
      </c>
      <c r="C158" t="s">
        <v>262</v>
      </c>
      <c r="D158" s="1">
        <v>40152</v>
      </c>
      <c r="E158" t="s">
        <v>43</v>
      </c>
      <c r="F158" t="s">
        <v>29</v>
      </c>
      <c r="G158" t="s">
        <v>43</v>
      </c>
      <c r="H158" t="s">
        <v>50</v>
      </c>
      <c r="I158" t="s">
        <v>23</v>
      </c>
      <c r="J158">
        <v>0</v>
      </c>
      <c r="K158" t="s">
        <v>29</v>
      </c>
      <c r="L158">
        <v>0</v>
      </c>
      <c r="M158">
        <v>8</v>
      </c>
      <c r="N158" t="s">
        <v>283</v>
      </c>
      <c r="O158" t="s">
        <v>264</v>
      </c>
      <c r="P158" t="s">
        <v>277</v>
      </c>
      <c r="Q158" t="s">
        <v>139</v>
      </c>
      <c r="U158" t="str">
        <f t="shared" si="6"/>
        <v>Chasing Won</v>
      </c>
      <c r="X158" t="str">
        <f t="shared" si="7"/>
        <v>No</v>
      </c>
      <c r="AA158" t="str">
        <f t="shared" si="8"/>
        <v>2009</v>
      </c>
    </row>
    <row r="159" spans="1:27" x14ac:dyDescent="0.35">
      <c r="A159">
        <v>158</v>
      </c>
      <c r="B159" t="s">
        <v>230</v>
      </c>
      <c r="C159" t="s">
        <v>245</v>
      </c>
      <c r="D159" t="s">
        <v>284</v>
      </c>
      <c r="E159" t="s">
        <v>49</v>
      </c>
      <c r="F159" t="s">
        <v>154</v>
      </c>
      <c r="G159" t="s">
        <v>154</v>
      </c>
      <c r="H159" t="s">
        <v>22</v>
      </c>
      <c r="I159" t="s">
        <v>23</v>
      </c>
      <c r="J159">
        <v>0</v>
      </c>
      <c r="K159" t="s">
        <v>49</v>
      </c>
      <c r="L159">
        <v>12</v>
      </c>
      <c r="M159">
        <v>0</v>
      </c>
      <c r="N159" t="s">
        <v>285</v>
      </c>
      <c r="O159" t="s">
        <v>247</v>
      </c>
      <c r="P159" t="s">
        <v>153</v>
      </c>
      <c r="Q159" t="s">
        <v>145</v>
      </c>
      <c r="U159" t="str">
        <f t="shared" si="6"/>
        <v>Batting First Won</v>
      </c>
      <c r="X159" t="str">
        <f t="shared" si="7"/>
        <v>No</v>
      </c>
      <c r="AA159" t="str">
        <f t="shared" si="8"/>
        <v>2009</v>
      </c>
    </row>
    <row r="160" spans="1:27" x14ac:dyDescent="0.35">
      <c r="A160">
        <v>159</v>
      </c>
      <c r="B160" t="s">
        <v>230</v>
      </c>
      <c r="C160" t="s">
        <v>245</v>
      </c>
      <c r="D160" t="s">
        <v>286</v>
      </c>
      <c r="E160" t="s">
        <v>141</v>
      </c>
      <c r="F160" t="s">
        <v>21</v>
      </c>
      <c r="G160" t="s">
        <v>141</v>
      </c>
      <c r="H160" t="s">
        <v>50</v>
      </c>
      <c r="I160" t="s">
        <v>23</v>
      </c>
      <c r="J160">
        <v>0</v>
      </c>
      <c r="K160" t="s">
        <v>21</v>
      </c>
      <c r="L160">
        <v>0</v>
      </c>
      <c r="M160">
        <v>2</v>
      </c>
      <c r="N160" t="s">
        <v>282</v>
      </c>
      <c r="O160" t="s">
        <v>247</v>
      </c>
      <c r="P160" t="s">
        <v>184</v>
      </c>
      <c r="Q160" t="s">
        <v>153</v>
      </c>
      <c r="U160" t="str">
        <f t="shared" si="6"/>
        <v>Chasing Won</v>
      </c>
      <c r="X160" t="str">
        <f t="shared" si="7"/>
        <v>No</v>
      </c>
      <c r="AA160" t="str">
        <f t="shared" si="8"/>
        <v>2009</v>
      </c>
    </row>
    <row r="161" spans="1:27" x14ac:dyDescent="0.35">
      <c r="A161">
        <v>160</v>
      </c>
      <c r="B161" t="s">
        <v>230</v>
      </c>
      <c r="C161" t="s">
        <v>245</v>
      </c>
      <c r="D161" t="s">
        <v>286</v>
      </c>
      <c r="E161" t="s">
        <v>146</v>
      </c>
      <c r="F161" t="s">
        <v>29</v>
      </c>
      <c r="G161" t="s">
        <v>146</v>
      </c>
      <c r="H161" t="s">
        <v>50</v>
      </c>
      <c r="I161" t="s">
        <v>23</v>
      </c>
      <c r="J161">
        <v>0</v>
      </c>
      <c r="K161" t="s">
        <v>146</v>
      </c>
      <c r="L161">
        <v>2</v>
      </c>
      <c r="M161">
        <v>0</v>
      </c>
      <c r="N161" t="s">
        <v>287</v>
      </c>
      <c r="O161" t="s">
        <v>247</v>
      </c>
      <c r="P161" t="s">
        <v>184</v>
      </c>
      <c r="Q161" t="s">
        <v>153</v>
      </c>
      <c r="U161" t="str">
        <f t="shared" si="6"/>
        <v>Batting First Won</v>
      </c>
      <c r="X161" t="str">
        <f t="shared" si="7"/>
        <v>Yes</v>
      </c>
      <c r="AA161" t="str">
        <f t="shared" si="8"/>
        <v>2009</v>
      </c>
    </row>
    <row r="162" spans="1:27" x14ac:dyDescent="0.35">
      <c r="A162">
        <v>161</v>
      </c>
      <c r="B162" t="s">
        <v>230</v>
      </c>
      <c r="C162" t="s">
        <v>288</v>
      </c>
      <c r="D162" t="s">
        <v>289</v>
      </c>
      <c r="E162" t="s">
        <v>49</v>
      </c>
      <c r="F162" t="s">
        <v>43</v>
      </c>
      <c r="G162" t="s">
        <v>43</v>
      </c>
      <c r="H162" t="s">
        <v>22</v>
      </c>
      <c r="I162" t="s">
        <v>23</v>
      </c>
      <c r="J162">
        <v>0</v>
      </c>
      <c r="K162" t="s">
        <v>43</v>
      </c>
      <c r="L162">
        <v>0</v>
      </c>
      <c r="M162">
        <v>6</v>
      </c>
      <c r="N162" t="s">
        <v>290</v>
      </c>
      <c r="O162" t="s">
        <v>291</v>
      </c>
      <c r="P162" t="s">
        <v>256</v>
      </c>
      <c r="Q162" t="s">
        <v>165</v>
      </c>
      <c r="U162" t="str">
        <f t="shared" si="6"/>
        <v>Chasing Won</v>
      </c>
      <c r="X162" t="str">
        <f t="shared" si="7"/>
        <v>Yes</v>
      </c>
      <c r="AA162" t="str">
        <f t="shared" si="8"/>
        <v>2009</v>
      </c>
    </row>
    <row r="163" spans="1:27" x14ac:dyDescent="0.35">
      <c r="A163">
        <v>162</v>
      </c>
      <c r="B163" t="s">
        <v>230</v>
      </c>
      <c r="C163" t="s">
        <v>240</v>
      </c>
      <c r="D163" t="s">
        <v>292</v>
      </c>
      <c r="E163" t="s">
        <v>29</v>
      </c>
      <c r="F163" t="s">
        <v>141</v>
      </c>
      <c r="G163" t="s">
        <v>29</v>
      </c>
      <c r="H163" t="s">
        <v>50</v>
      </c>
      <c r="I163" t="s">
        <v>23</v>
      </c>
      <c r="J163">
        <v>0</v>
      </c>
      <c r="K163" t="s">
        <v>141</v>
      </c>
      <c r="L163">
        <v>0</v>
      </c>
      <c r="M163">
        <v>7</v>
      </c>
      <c r="N163" t="s">
        <v>169</v>
      </c>
      <c r="O163" t="s">
        <v>243</v>
      </c>
      <c r="P163" t="s">
        <v>272</v>
      </c>
      <c r="Q163" t="s">
        <v>244</v>
      </c>
      <c r="U163" t="str">
        <f t="shared" si="6"/>
        <v>Chasing Won</v>
      </c>
      <c r="X163" t="str">
        <f t="shared" si="7"/>
        <v>No</v>
      </c>
      <c r="AA163" t="str">
        <f t="shared" si="8"/>
        <v>2009</v>
      </c>
    </row>
    <row r="164" spans="1:27" x14ac:dyDescent="0.35">
      <c r="A164">
        <v>163</v>
      </c>
      <c r="B164" t="s">
        <v>230</v>
      </c>
      <c r="C164" t="s">
        <v>273</v>
      </c>
      <c r="D164" t="s">
        <v>292</v>
      </c>
      <c r="E164" t="s">
        <v>37</v>
      </c>
      <c r="F164" t="s">
        <v>154</v>
      </c>
      <c r="G164" t="s">
        <v>154</v>
      </c>
      <c r="H164" t="s">
        <v>22</v>
      </c>
      <c r="I164" t="s">
        <v>23</v>
      </c>
      <c r="J164">
        <v>0</v>
      </c>
      <c r="K164" t="s">
        <v>154</v>
      </c>
      <c r="L164">
        <v>0</v>
      </c>
      <c r="M164">
        <v>6</v>
      </c>
      <c r="N164" t="s">
        <v>110</v>
      </c>
      <c r="O164" t="s">
        <v>275</v>
      </c>
      <c r="P164" t="s">
        <v>139</v>
      </c>
      <c r="Q164" t="s">
        <v>34</v>
      </c>
      <c r="U164" t="str">
        <f t="shared" si="6"/>
        <v>Chasing Won</v>
      </c>
      <c r="X164" t="str">
        <f t="shared" si="7"/>
        <v>Yes</v>
      </c>
      <c r="AA164" t="str">
        <f t="shared" si="8"/>
        <v>2009</v>
      </c>
    </row>
    <row r="165" spans="1:27" x14ac:dyDescent="0.35">
      <c r="A165">
        <v>164</v>
      </c>
      <c r="B165" t="s">
        <v>230</v>
      </c>
      <c r="C165" t="s">
        <v>273</v>
      </c>
      <c r="D165" t="s">
        <v>293</v>
      </c>
      <c r="E165" t="s">
        <v>43</v>
      </c>
      <c r="F165" t="s">
        <v>154</v>
      </c>
      <c r="G165" t="s">
        <v>154</v>
      </c>
      <c r="H165" t="s">
        <v>22</v>
      </c>
      <c r="I165" t="s">
        <v>23</v>
      </c>
      <c r="J165">
        <v>0</v>
      </c>
      <c r="K165" t="s">
        <v>43</v>
      </c>
      <c r="L165">
        <v>1</v>
      </c>
      <c r="M165">
        <v>0</v>
      </c>
      <c r="N165" t="s">
        <v>24</v>
      </c>
      <c r="O165" t="s">
        <v>275</v>
      </c>
      <c r="P165" t="s">
        <v>34</v>
      </c>
      <c r="Q165" t="s">
        <v>162</v>
      </c>
      <c r="U165" t="str">
        <f t="shared" si="6"/>
        <v>Batting First Won</v>
      </c>
      <c r="X165" t="str">
        <f t="shared" si="7"/>
        <v>No</v>
      </c>
      <c r="AA165" t="str">
        <f t="shared" si="8"/>
        <v>2009</v>
      </c>
    </row>
    <row r="166" spans="1:27" x14ac:dyDescent="0.35">
      <c r="A166">
        <v>165</v>
      </c>
      <c r="B166" t="s">
        <v>230</v>
      </c>
      <c r="C166" t="s">
        <v>288</v>
      </c>
      <c r="D166" t="s">
        <v>293</v>
      </c>
      <c r="E166" t="s">
        <v>49</v>
      </c>
      <c r="F166" t="s">
        <v>146</v>
      </c>
      <c r="G166" t="s">
        <v>49</v>
      </c>
      <c r="H166" t="s">
        <v>50</v>
      </c>
      <c r="I166" t="s">
        <v>23</v>
      </c>
      <c r="J166">
        <v>0</v>
      </c>
      <c r="K166" t="s">
        <v>49</v>
      </c>
      <c r="L166">
        <v>14</v>
      </c>
      <c r="M166">
        <v>0</v>
      </c>
      <c r="N166" t="s">
        <v>250</v>
      </c>
      <c r="O166" t="s">
        <v>291</v>
      </c>
      <c r="P166" t="s">
        <v>277</v>
      </c>
      <c r="Q166" t="s">
        <v>165</v>
      </c>
      <c r="U166" t="str">
        <f t="shared" si="6"/>
        <v>Batting First Won</v>
      </c>
      <c r="X166" t="str">
        <f t="shared" si="7"/>
        <v>Yes</v>
      </c>
      <c r="AA166" t="str">
        <f t="shared" si="8"/>
        <v>2009</v>
      </c>
    </row>
    <row r="167" spans="1:27" x14ac:dyDescent="0.35">
      <c r="A167">
        <v>166</v>
      </c>
      <c r="B167" t="s">
        <v>230</v>
      </c>
      <c r="C167" t="s">
        <v>262</v>
      </c>
      <c r="D167" t="s">
        <v>294</v>
      </c>
      <c r="E167" t="s">
        <v>141</v>
      </c>
      <c r="F167" t="s">
        <v>37</v>
      </c>
      <c r="G167" t="s">
        <v>141</v>
      </c>
      <c r="H167" t="s">
        <v>50</v>
      </c>
      <c r="I167" t="s">
        <v>23</v>
      </c>
      <c r="J167">
        <v>0</v>
      </c>
      <c r="K167" t="s">
        <v>37</v>
      </c>
      <c r="L167">
        <v>0</v>
      </c>
      <c r="M167">
        <v>7</v>
      </c>
      <c r="N167" t="s">
        <v>295</v>
      </c>
      <c r="O167" t="s">
        <v>264</v>
      </c>
      <c r="P167" t="s">
        <v>244</v>
      </c>
      <c r="Q167" t="s">
        <v>162</v>
      </c>
      <c r="U167" t="str">
        <f t="shared" si="6"/>
        <v>Chasing Won</v>
      </c>
      <c r="X167" t="str">
        <f t="shared" si="7"/>
        <v>No</v>
      </c>
      <c r="AA167" t="str">
        <f t="shared" si="8"/>
        <v>2009</v>
      </c>
    </row>
    <row r="168" spans="1:27" x14ac:dyDescent="0.35">
      <c r="A168">
        <v>167</v>
      </c>
      <c r="B168" t="s">
        <v>230</v>
      </c>
      <c r="C168" t="s">
        <v>273</v>
      </c>
      <c r="D168" t="s">
        <v>296</v>
      </c>
      <c r="E168" t="s">
        <v>49</v>
      </c>
      <c r="F168" t="s">
        <v>21</v>
      </c>
      <c r="G168" t="s">
        <v>49</v>
      </c>
      <c r="H168" t="s">
        <v>50</v>
      </c>
      <c r="I168" t="s">
        <v>23</v>
      </c>
      <c r="J168">
        <v>0</v>
      </c>
      <c r="K168" t="s">
        <v>21</v>
      </c>
      <c r="L168">
        <v>0</v>
      </c>
      <c r="M168">
        <v>7</v>
      </c>
      <c r="N168" t="s">
        <v>276</v>
      </c>
      <c r="O168" t="s">
        <v>275</v>
      </c>
      <c r="P168" t="s">
        <v>165</v>
      </c>
      <c r="Q168" t="s">
        <v>162</v>
      </c>
      <c r="U168" t="str">
        <f t="shared" si="6"/>
        <v>Chasing Won</v>
      </c>
      <c r="X168" t="str">
        <f t="shared" si="7"/>
        <v>No</v>
      </c>
      <c r="AA168" t="str">
        <f t="shared" si="8"/>
        <v>2009</v>
      </c>
    </row>
    <row r="169" spans="1:27" x14ac:dyDescent="0.35">
      <c r="A169">
        <v>168</v>
      </c>
      <c r="B169" t="s">
        <v>230</v>
      </c>
      <c r="C169" t="s">
        <v>245</v>
      </c>
      <c r="D169" t="s">
        <v>297</v>
      </c>
      <c r="E169" t="s">
        <v>146</v>
      </c>
      <c r="F169" t="s">
        <v>37</v>
      </c>
      <c r="G169" t="s">
        <v>37</v>
      </c>
      <c r="H169" t="s">
        <v>22</v>
      </c>
      <c r="I169" t="s">
        <v>23</v>
      </c>
      <c r="J169">
        <v>0</v>
      </c>
      <c r="K169" t="s">
        <v>37</v>
      </c>
      <c r="L169">
        <v>0</v>
      </c>
      <c r="M169">
        <v>4</v>
      </c>
      <c r="N169" t="s">
        <v>298</v>
      </c>
      <c r="O169" t="s">
        <v>247</v>
      </c>
      <c r="P169" t="s">
        <v>202</v>
      </c>
      <c r="Q169" t="s">
        <v>244</v>
      </c>
      <c r="U169" t="str">
        <f t="shared" si="6"/>
        <v>Chasing Won</v>
      </c>
      <c r="X169" t="str">
        <f t="shared" si="7"/>
        <v>Yes</v>
      </c>
      <c r="AA169" t="str">
        <f t="shared" si="8"/>
        <v>2009</v>
      </c>
    </row>
    <row r="170" spans="1:27" x14ac:dyDescent="0.35">
      <c r="A170">
        <v>169</v>
      </c>
      <c r="B170" t="s">
        <v>230</v>
      </c>
      <c r="C170" t="s">
        <v>245</v>
      </c>
      <c r="D170" t="s">
        <v>297</v>
      </c>
      <c r="E170" t="s">
        <v>141</v>
      </c>
      <c r="F170" t="s">
        <v>43</v>
      </c>
      <c r="G170" t="s">
        <v>141</v>
      </c>
      <c r="H170" t="s">
        <v>50</v>
      </c>
      <c r="I170" t="s">
        <v>23</v>
      </c>
      <c r="J170">
        <v>0</v>
      </c>
      <c r="K170" t="s">
        <v>141</v>
      </c>
      <c r="L170">
        <v>24</v>
      </c>
      <c r="M170">
        <v>0</v>
      </c>
      <c r="N170" t="s">
        <v>242</v>
      </c>
      <c r="O170" t="s">
        <v>247</v>
      </c>
      <c r="P170" t="s">
        <v>202</v>
      </c>
      <c r="Q170" t="s">
        <v>244</v>
      </c>
      <c r="U170" t="str">
        <f t="shared" si="6"/>
        <v>Batting First Won</v>
      </c>
      <c r="X170" t="str">
        <f t="shared" si="7"/>
        <v>Yes</v>
      </c>
      <c r="AA170" t="str">
        <f t="shared" si="8"/>
        <v>2009</v>
      </c>
    </row>
    <row r="171" spans="1:27" x14ac:dyDescent="0.35">
      <c r="A171">
        <v>170</v>
      </c>
      <c r="B171" t="s">
        <v>230</v>
      </c>
      <c r="C171" t="s">
        <v>262</v>
      </c>
      <c r="D171" t="s">
        <v>299</v>
      </c>
      <c r="E171" t="s">
        <v>29</v>
      </c>
      <c r="F171" t="s">
        <v>49</v>
      </c>
      <c r="G171" t="s">
        <v>49</v>
      </c>
      <c r="H171" t="s">
        <v>22</v>
      </c>
      <c r="I171" t="s">
        <v>23</v>
      </c>
      <c r="J171">
        <v>0</v>
      </c>
      <c r="K171" t="s">
        <v>49</v>
      </c>
      <c r="L171">
        <v>0</v>
      </c>
      <c r="M171">
        <v>4</v>
      </c>
      <c r="N171" t="s">
        <v>164</v>
      </c>
      <c r="O171" t="s">
        <v>264</v>
      </c>
      <c r="P171" t="s">
        <v>165</v>
      </c>
      <c r="Q171" t="s">
        <v>34</v>
      </c>
      <c r="U171" t="str">
        <f t="shared" si="6"/>
        <v>Chasing Won</v>
      </c>
      <c r="X171" t="str">
        <f t="shared" si="7"/>
        <v>Yes</v>
      </c>
      <c r="AA171" t="str">
        <f t="shared" si="8"/>
        <v>2009</v>
      </c>
    </row>
    <row r="172" spans="1:27" x14ac:dyDescent="0.35">
      <c r="A172">
        <v>171</v>
      </c>
      <c r="B172" t="s">
        <v>230</v>
      </c>
      <c r="C172" t="s">
        <v>262</v>
      </c>
      <c r="D172" t="s">
        <v>299</v>
      </c>
      <c r="E172" t="s">
        <v>21</v>
      </c>
      <c r="F172" t="s">
        <v>154</v>
      </c>
      <c r="G172" t="s">
        <v>21</v>
      </c>
      <c r="H172" t="s">
        <v>50</v>
      </c>
      <c r="I172" t="s">
        <v>23</v>
      </c>
      <c r="J172">
        <v>0</v>
      </c>
      <c r="K172" t="s">
        <v>21</v>
      </c>
      <c r="L172">
        <v>12</v>
      </c>
      <c r="M172">
        <v>0</v>
      </c>
      <c r="N172" t="s">
        <v>300</v>
      </c>
      <c r="O172" t="s">
        <v>264</v>
      </c>
      <c r="P172" t="s">
        <v>165</v>
      </c>
      <c r="Q172" t="s">
        <v>34</v>
      </c>
      <c r="U172" t="str">
        <f t="shared" si="6"/>
        <v>Batting First Won</v>
      </c>
      <c r="X172" t="str">
        <f t="shared" si="7"/>
        <v>Yes</v>
      </c>
      <c r="AA172" t="str">
        <f t="shared" si="8"/>
        <v>2009</v>
      </c>
    </row>
    <row r="173" spans="1:27" x14ac:dyDescent="0.35">
      <c r="A173">
        <v>172</v>
      </c>
      <c r="B173" t="s">
        <v>230</v>
      </c>
      <c r="C173" t="s">
        <v>262</v>
      </c>
      <c r="D173" t="s">
        <v>301</v>
      </c>
      <c r="E173" t="s">
        <v>49</v>
      </c>
      <c r="F173" t="s">
        <v>154</v>
      </c>
      <c r="G173" t="s">
        <v>154</v>
      </c>
      <c r="H173" t="s">
        <v>22</v>
      </c>
      <c r="I173" t="s">
        <v>23</v>
      </c>
      <c r="J173">
        <v>0</v>
      </c>
      <c r="K173" t="s">
        <v>154</v>
      </c>
      <c r="L173">
        <v>0</v>
      </c>
      <c r="M173">
        <v>6</v>
      </c>
      <c r="N173" t="s">
        <v>179</v>
      </c>
      <c r="O173" t="s">
        <v>264</v>
      </c>
      <c r="P173" t="s">
        <v>184</v>
      </c>
      <c r="Q173" t="s">
        <v>153</v>
      </c>
      <c r="U173" t="str">
        <f t="shared" si="6"/>
        <v>Chasing Won</v>
      </c>
      <c r="X173" t="str">
        <f t="shared" si="7"/>
        <v>Yes</v>
      </c>
      <c r="AA173" t="str">
        <f t="shared" si="8"/>
        <v>2009</v>
      </c>
    </row>
    <row r="174" spans="1:27" x14ac:dyDescent="0.35">
      <c r="A174">
        <v>173</v>
      </c>
      <c r="B174" t="s">
        <v>230</v>
      </c>
      <c r="C174" t="s">
        <v>273</v>
      </c>
      <c r="D174" t="s">
        <v>302</v>
      </c>
      <c r="E174" t="s">
        <v>141</v>
      </c>
      <c r="F174" t="s">
        <v>21</v>
      </c>
      <c r="G174" t="s">
        <v>21</v>
      </c>
      <c r="H174" t="s">
        <v>22</v>
      </c>
      <c r="I174" t="s">
        <v>23</v>
      </c>
      <c r="J174">
        <v>0</v>
      </c>
      <c r="K174" t="s">
        <v>21</v>
      </c>
      <c r="L174">
        <v>0</v>
      </c>
      <c r="M174">
        <v>6</v>
      </c>
      <c r="N174" t="s">
        <v>300</v>
      </c>
      <c r="O174" t="s">
        <v>275</v>
      </c>
      <c r="P174" t="s">
        <v>139</v>
      </c>
      <c r="Q174" t="s">
        <v>244</v>
      </c>
      <c r="U174" t="str">
        <f t="shared" si="6"/>
        <v>Chasing Won</v>
      </c>
      <c r="X174" t="str">
        <f t="shared" si="7"/>
        <v>Yes</v>
      </c>
      <c r="AA174" t="str">
        <f t="shared" si="8"/>
        <v>2009</v>
      </c>
    </row>
    <row r="175" spans="1:27" x14ac:dyDescent="0.35">
      <c r="A175">
        <v>174</v>
      </c>
      <c r="B175" t="s">
        <v>230</v>
      </c>
      <c r="C175" t="s">
        <v>273</v>
      </c>
      <c r="D175" t="s">
        <v>303</v>
      </c>
      <c r="E175" t="s">
        <v>154</v>
      </c>
      <c r="F175" t="s">
        <v>21</v>
      </c>
      <c r="G175" t="s">
        <v>21</v>
      </c>
      <c r="H175" t="s">
        <v>22</v>
      </c>
      <c r="I175" t="s">
        <v>23</v>
      </c>
      <c r="J175">
        <v>0</v>
      </c>
      <c r="K175" t="s">
        <v>154</v>
      </c>
      <c r="L175">
        <v>6</v>
      </c>
      <c r="M175">
        <v>0</v>
      </c>
      <c r="N175" t="s">
        <v>219</v>
      </c>
      <c r="O175" t="s">
        <v>275</v>
      </c>
      <c r="P175" t="s">
        <v>139</v>
      </c>
      <c r="Q175" t="s">
        <v>244</v>
      </c>
      <c r="U175" t="str">
        <f t="shared" si="6"/>
        <v>Batting First Won</v>
      </c>
      <c r="X175" t="str">
        <f t="shared" si="7"/>
        <v>No</v>
      </c>
      <c r="AA175" t="str">
        <f t="shared" si="8"/>
        <v>2009</v>
      </c>
    </row>
    <row r="176" spans="1:27" x14ac:dyDescent="0.35">
      <c r="A176">
        <v>175</v>
      </c>
      <c r="B176" t="s">
        <v>304</v>
      </c>
      <c r="C176" t="s">
        <v>55</v>
      </c>
      <c r="D176" s="1">
        <v>40515</v>
      </c>
      <c r="E176" t="s">
        <v>37</v>
      </c>
      <c r="F176" t="s">
        <v>154</v>
      </c>
      <c r="G176" t="s">
        <v>154</v>
      </c>
      <c r="H176" t="s">
        <v>22</v>
      </c>
      <c r="I176" t="s">
        <v>23</v>
      </c>
      <c r="J176">
        <v>0</v>
      </c>
      <c r="K176" t="s">
        <v>37</v>
      </c>
      <c r="L176">
        <v>11</v>
      </c>
      <c r="M176">
        <v>0</v>
      </c>
      <c r="N176" t="s">
        <v>305</v>
      </c>
      <c r="O176" t="s">
        <v>180</v>
      </c>
      <c r="P176" t="s">
        <v>139</v>
      </c>
      <c r="Q176" t="s">
        <v>162</v>
      </c>
      <c r="U176" t="str">
        <f t="shared" si="6"/>
        <v>Batting First Won</v>
      </c>
      <c r="X176" t="str">
        <f t="shared" si="7"/>
        <v>No</v>
      </c>
      <c r="AA176" t="str">
        <f t="shared" si="8"/>
        <v>2010</v>
      </c>
    </row>
    <row r="177" spans="1:27" x14ac:dyDescent="0.35">
      <c r="A177">
        <v>176</v>
      </c>
      <c r="B177" t="s">
        <v>304</v>
      </c>
      <c r="C177" t="s">
        <v>55</v>
      </c>
      <c r="D177" t="s">
        <v>306</v>
      </c>
      <c r="E177" t="s">
        <v>29</v>
      </c>
      <c r="F177" t="s">
        <v>146</v>
      </c>
      <c r="G177" t="s">
        <v>29</v>
      </c>
      <c r="H177" t="s">
        <v>50</v>
      </c>
      <c r="I177" t="s">
        <v>23</v>
      </c>
      <c r="J177">
        <v>0</v>
      </c>
      <c r="K177" t="s">
        <v>29</v>
      </c>
      <c r="L177">
        <v>4</v>
      </c>
      <c r="M177">
        <v>0</v>
      </c>
      <c r="N177" t="s">
        <v>172</v>
      </c>
      <c r="O177" t="s">
        <v>307</v>
      </c>
      <c r="P177" t="s">
        <v>139</v>
      </c>
      <c r="Q177" t="s">
        <v>162</v>
      </c>
      <c r="U177" t="str">
        <f t="shared" si="6"/>
        <v>Batting First Won</v>
      </c>
      <c r="X177" t="str">
        <f t="shared" si="7"/>
        <v>Yes</v>
      </c>
      <c r="AA177" t="str">
        <f t="shared" si="8"/>
        <v>2010</v>
      </c>
    </row>
    <row r="178" spans="1:27" x14ac:dyDescent="0.35">
      <c r="A178">
        <v>177</v>
      </c>
      <c r="B178" t="s">
        <v>304</v>
      </c>
      <c r="C178" t="s">
        <v>101</v>
      </c>
      <c r="D178" t="s">
        <v>306</v>
      </c>
      <c r="E178" t="s">
        <v>43</v>
      </c>
      <c r="F178" t="s">
        <v>49</v>
      </c>
      <c r="G178" t="s">
        <v>49</v>
      </c>
      <c r="H178" t="s">
        <v>22</v>
      </c>
      <c r="I178" t="s">
        <v>23</v>
      </c>
      <c r="J178">
        <v>0</v>
      </c>
      <c r="K178" t="s">
        <v>49</v>
      </c>
      <c r="L178">
        <v>0</v>
      </c>
      <c r="M178">
        <v>5</v>
      </c>
      <c r="N178" t="s">
        <v>100</v>
      </c>
      <c r="O178" t="s">
        <v>143</v>
      </c>
      <c r="P178" t="s">
        <v>184</v>
      </c>
      <c r="Q178" t="s">
        <v>34</v>
      </c>
      <c r="U178" t="str">
        <f t="shared" si="6"/>
        <v>Chasing Won</v>
      </c>
      <c r="X178" t="str">
        <f t="shared" si="7"/>
        <v>Yes</v>
      </c>
      <c r="AA178" t="str">
        <f t="shared" si="8"/>
        <v>2010</v>
      </c>
    </row>
    <row r="179" spans="1:27" x14ac:dyDescent="0.35">
      <c r="A179">
        <v>178</v>
      </c>
      <c r="B179" t="s">
        <v>304</v>
      </c>
      <c r="C179" t="s">
        <v>61</v>
      </c>
      <c r="D179" t="s">
        <v>308</v>
      </c>
      <c r="E179" t="s">
        <v>21</v>
      </c>
      <c r="F179" t="s">
        <v>37</v>
      </c>
      <c r="G179" t="s">
        <v>37</v>
      </c>
      <c r="H179" t="s">
        <v>22</v>
      </c>
      <c r="I179" t="s">
        <v>23</v>
      </c>
      <c r="J179">
        <v>0</v>
      </c>
      <c r="K179" t="s">
        <v>37</v>
      </c>
      <c r="L179">
        <v>0</v>
      </c>
      <c r="M179">
        <v>7</v>
      </c>
      <c r="N179" t="s">
        <v>309</v>
      </c>
      <c r="O179" t="s">
        <v>64</v>
      </c>
      <c r="P179" t="s">
        <v>256</v>
      </c>
      <c r="Q179" t="s">
        <v>166</v>
      </c>
      <c r="U179" t="str">
        <f t="shared" si="6"/>
        <v>Chasing Won</v>
      </c>
      <c r="X179" t="str">
        <f t="shared" si="7"/>
        <v>Yes</v>
      </c>
      <c r="AA179" t="str">
        <f t="shared" si="8"/>
        <v>2010</v>
      </c>
    </row>
    <row r="180" spans="1:27" x14ac:dyDescent="0.35">
      <c r="A180">
        <v>179</v>
      </c>
      <c r="B180" t="s">
        <v>304</v>
      </c>
      <c r="C180" t="s">
        <v>167</v>
      </c>
      <c r="D180" t="s">
        <v>308</v>
      </c>
      <c r="E180" t="s">
        <v>154</v>
      </c>
      <c r="F180" t="s">
        <v>141</v>
      </c>
      <c r="G180" t="s">
        <v>154</v>
      </c>
      <c r="H180" t="s">
        <v>50</v>
      </c>
      <c r="I180" t="s">
        <v>23</v>
      </c>
      <c r="J180">
        <v>0</v>
      </c>
      <c r="K180" t="s">
        <v>154</v>
      </c>
      <c r="L180">
        <v>31</v>
      </c>
      <c r="M180">
        <v>0</v>
      </c>
      <c r="N180" t="s">
        <v>310</v>
      </c>
      <c r="O180" t="s">
        <v>170</v>
      </c>
      <c r="P180" t="s">
        <v>157</v>
      </c>
      <c r="Q180" t="s">
        <v>153</v>
      </c>
      <c r="U180" t="str">
        <f t="shared" si="6"/>
        <v>Batting First Won</v>
      </c>
      <c r="X180" t="str">
        <f t="shared" si="7"/>
        <v>Yes</v>
      </c>
      <c r="AA180" t="str">
        <f t="shared" si="8"/>
        <v>2010</v>
      </c>
    </row>
    <row r="181" spans="1:27" x14ac:dyDescent="0.35">
      <c r="A181">
        <v>180</v>
      </c>
      <c r="B181" t="s">
        <v>304</v>
      </c>
      <c r="C181" t="s">
        <v>311</v>
      </c>
      <c r="D181" t="s">
        <v>312</v>
      </c>
      <c r="E181" t="s">
        <v>146</v>
      </c>
      <c r="F181" t="s">
        <v>49</v>
      </c>
      <c r="G181" t="s">
        <v>49</v>
      </c>
      <c r="H181" t="s">
        <v>22</v>
      </c>
      <c r="I181" t="s">
        <v>23</v>
      </c>
      <c r="J181">
        <v>0</v>
      </c>
      <c r="K181" t="s">
        <v>49</v>
      </c>
      <c r="L181">
        <v>0</v>
      </c>
      <c r="M181">
        <v>6</v>
      </c>
      <c r="N181" t="s">
        <v>164</v>
      </c>
      <c r="O181" t="s">
        <v>313</v>
      </c>
      <c r="P181" t="s">
        <v>202</v>
      </c>
      <c r="Q181" t="s">
        <v>139</v>
      </c>
      <c r="U181" t="str">
        <f t="shared" si="6"/>
        <v>Chasing Won</v>
      </c>
      <c r="X181" t="str">
        <f t="shared" si="7"/>
        <v>Yes</v>
      </c>
      <c r="AA181" t="str">
        <f t="shared" si="8"/>
        <v>2010</v>
      </c>
    </row>
    <row r="182" spans="1:27" x14ac:dyDescent="0.35">
      <c r="A182">
        <v>181</v>
      </c>
      <c r="B182" t="s">
        <v>304</v>
      </c>
      <c r="C182" t="s">
        <v>48</v>
      </c>
      <c r="D182" t="s">
        <v>314</v>
      </c>
      <c r="E182" t="s">
        <v>43</v>
      </c>
      <c r="F182" t="s">
        <v>21</v>
      </c>
      <c r="G182" t="s">
        <v>43</v>
      </c>
      <c r="H182" t="s">
        <v>50</v>
      </c>
      <c r="I182" t="s">
        <v>23</v>
      </c>
      <c r="J182">
        <v>0</v>
      </c>
      <c r="K182" t="s">
        <v>21</v>
      </c>
      <c r="L182">
        <v>0</v>
      </c>
      <c r="M182">
        <v>8</v>
      </c>
      <c r="N182" t="s">
        <v>276</v>
      </c>
      <c r="O182" t="s">
        <v>52</v>
      </c>
      <c r="P182" t="s">
        <v>315</v>
      </c>
      <c r="Q182" t="s">
        <v>153</v>
      </c>
      <c r="U182" t="str">
        <f t="shared" si="6"/>
        <v>Chasing Won</v>
      </c>
      <c r="X182" t="str">
        <f t="shared" si="7"/>
        <v>No</v>
      </c>
      <c r="AA182" t="str">
        <f t="shared" si="8"/>
        <v>2010</v>
      </c>
    </row>
    <row r="183" spans="1:27" x14ac:dyDescent="0.35">
      <c r="A183">
        <v>182</v>
      </c>
      <c r="B183" t="s">
        <v>304</v>
      </c>
      <c r="C183" t="s">
        <v>61</v>
      </c>
      <c r="D183" t="s">
        <v>314</v>
      </c>
      <c r="E183" t="s">
        <v>141</v>
      </c>
      <c r="F183" t="s">
        <v>37</v>
      </c>
      <c r="G183" t="s">
        <v>141</v>
      </c>
      <c r="H183" t="s">
        <v>50</v>
      </c>
      <c r="I183" t="s">
        <v>23</v>
      </c>
      <c r="J183">
        <v>0</v>
      </c>
      <c r="K183" t="s">
        <v>141</v>
      </c>
      <c r="L183">
        <v>55</v>
      </c>
      <c r="M183">
        <v>0</v>
      </c>
      <c r="N183" t="s">
        <v>93</v>
      </c>
      <c r="O183" t="s">
        <v>64</v>
      </c>
      <c r="P183" t="s">
        <v>256</v>
      </c>
      <c r="Q183" t="s">
        <v>166</v>
      </c>
      <c r="U183" t="str">
        <f t="shared" si="6"/>
        <v>Batting First Won</v>
      </c>
      <c r="X183" t="str">
        <f t="shared" si="7"/>
        <v>Yes</v>
      </c>
      <c r="AA183" t="str">
        <f t="shared" si="8"/>
        <v>2010</v>
      </c>
    </row>
    <row r="184" spans="1:27" x14ac:dyDescent="0.35">
      <c r="A184">
        <v>183</v>
      </c>
      <c r="B184" t="s">
        <v>304</v>
      </c>
      <c r="C184" t="s">
        <v>71</v>
      </c>
      <c r="D184" t="s">
        <v>316</v>
      </c>
      <c r="E184" t="s">
        <v>29</v>
      </c>
      <c r="F184" t="s">
        <v>49</v>
      </c>
      <c r="G184" t="s">
        <v>49</v>
      </c>
      <c r="H184" t="s">
        <v>22</v>
      </c>
      <c r="I184" t="s">
        <v>23</v>
      </c>
      <c r="J184">
        <v>0</v>
      </c>
      <c r="K184" t="s">
        <v>29</v>
      </c>
      <c r="L184">
        <v>98</v>
      </c>
      <c r="M184">
        <v>0</v>
      </c>
      <c r="N184" t="s">
        <v>233</v>
      </c>
      <c r="O184" t="s">
        <v>73</v>
      </c>
      <c r="P184" t="s">
        <v>184</v>
      </c>
      <c r="Q184" t="s">
        <v>272</v>
      </c>
      <c r="U184" t="str">
        <f t="shared" si="6"/>
        <v>Batting First Won</v>
      </c>
      <c r="X184" t="str">
        <f t="shared" si="7"/>
        <v>No</v>
      </c>
      <c r="AA184" t="str">
        <f t="shared" si="8"/>
        <v>2010</v>
      </c>
    </row>
    <row r="185" spans="1:27" x14ac:dyDescent="0.35">
      <c r="A185">
        <v>184</v>
      </c>
      <c r="B185" t="s">
        <v>304</v>
      </c>
      <c r="C185" t="s">
        <v>48</v>
      </c>
      <c r="D185" t="s">
        <v>317</v>
      </c>
      <c r="E185" t="s">
        <v>146</v>
      </c>
      <c r="F185" t="s">
        <v>21</v>
      </c>
      <c r="G185" t="s">
        <v>21</v>
      </c>
      <c r="H185" t="s">
        <v>22</v>
      </c>
      <c r="I185" t="s">
        <v>23</v>
      </c>
      <c r="J185">
        <v>0</v>
      </c>
      <c r="K185" t="s">
        <v>21</v>
      </c>
      <c r="L185">
        <v>0</v>
      </c>
      <c r="M185">
        <v>10</v>
      </c>
      <c r="N185" t="s">
        <v>276</v>
      </c>
      <c r="O185" t="s">
        <v>52</v>
      </c>
      <c r="P185" t="s">
        <v>157</v>
      </c>
      <c r="Q185" t="s">
        <v>153</v>
      </c>
      <c r="U185" t="str">
        <f t="shared" si="6"/>
        <v>Chasing Won</v>
      </c>
      <c r="X185" t="str">
        <f t="shared" si="7"/>
        <v>Yes</v>
      </c>
      <c r="AA185" t="str">
        <f t="shared" si="8"/>
        <v>2010</v>
      </c>
    </row>
    <row r="186" spans="1:27" x14ac:dyDescent="0.35">
      <c r="A186">
        <v>185</v>
      </c>
      <c r="B186" t="s">
        <v>304</v>
      </c>
      <c r="C186" t="s">
        <v>71</v>
      </c>
      <c r="D186" t="s">
        <v>318</v>
      </c>
      <c r="E186" t="s">
        <v>49</v>
      </c>
      <c r="F186" t="s">
        <v>141</v>
      </c>
      <c r="G186" t="s">
        <v>49</v>
      </c>
      <c r="H186" t="s">
        <v>50</v>
      </c>
      <c r="I186" t="s">
        <v>23</v>
      </c>
      <c r="J186">
        <v>0</v>
      </c>
      <c r="K186" t="s">
        <v>141</v>
      </c>
      <c r="L186">
        <v>0</v>
      </c>
      <c r="M186">
        <v>5</v>
      </c>
      <c r="N186" t="s">
        <v>169</v>
      </c>
      <c r="O186" t="s">
        <v>73</v>
      </c>
      <c r="P186" t="s">
        <v>184</v>
      </c>
      <c r="Q186" t="s">
        <v>272</v>
      </c>
      <c r="U186" t="str">
        <f t="shared" si="6"/>
        <v>Chasing Won</v>
      </c>
      <c r="X186" t="str">
        <f t="shared" si="7"/>
        <v>No</v>
      </c>
      <c r="AA186" t="str">
        <f t="shared" si="8"/>
        <v>2010</v>
      </c>
    </row>
    <row r="187" spans="1:27" x14ac:dyDescent="0.35">
      <c r="A187">
        <v>186</v>
      </c>
      <c r="B187" t="s">
        <v>304</v>
      </c>
      <c r="C187" t="s">
        <v>319</v>
      </c>
      <c r="D187" t="s">
        <v>318</v>
      </c>
      <c r="E187" t="s">
        <v>154</v>
      </c>
      <c r="F187" t="s">
        <v>43</v>
      </c>
      <c r="G187" t="s">
        <v>43</v>
      </c>
      <c r="H187" t="s">
        <v>22</v>
      </c>
      <c r="I187" t="s">
        <v>23</v>
      </c>
      <c r="J187">
        <v>0</v>
      </c>
      <c r="K187" t="s">
        <v>154</v>
      </c>
      <c r="L187">
        <v>6</v>
      </c>
      <c r="M187">
        <v>0</v>
      </c>
      <c r="N187" t="s">
        <v>320</v>
      </c>
      <c r="O187" t="s">
        <v>321</v>
      </c>
      <c r="P187" t="s">
        <v>156</v>
      </c>
      <c r="Q187" t="s">
        <v>88</v>
      </c>
      <c r="U187" t="str">
        <f t="shared" si="6"/>
        <v>Batting First Won</v>
      </c>
      <c r="X187" t="str">
        <f t="shared" si="7"/>
        <v>No</v>
      </c>
      <c r="AA187" t="str">
        <f t="shared" si="8"/>
        <v>2010</v>
      </c>
    </row>
    <row r="188" spans="1:27" x14ac:dyDescent="0.35">
      <c r="A188">
        <v>187</v>
      </c>
      <c r="B188" t="s">
        <v>304</v>
      </c>
      <c r="C188" t="s">
        <v>311</v>
      </c>
      <c r="D188" t="s">
        <v>322</v>
      </c>
      <c r="E188" t="s">
        <v>146</v>
      </c>
      <c r="F188" t="s">
        <v>37</v>
      </c>
      <c r="G188" t="s">
        <v>146</v>
      </c>
      <c r="H188" t="s">
        <v>50</v>
      </c>
      <c r="I188" t="s">
        <v>23</v>
      </c>
      <c r="J188">
        <v>0</v>
      </c>
      <c r="K188" t="s">
        <v>146</v>
      </c>
      <c r="L188">
        <v>34</v>
      </c>
      <c r="M188">
        <v>0</v>
      </c>
      <c r="N188" t="s">
        <v>323</v>
      </c>
      <c r="O188" t="s">
        <v>313</v>
      </c>
      <c r="P188" t="s">
        <v>139</v>
      </c>
      <c r="Q188" t="s">
        <v>162</v>
      </c>
      <c r="U188" t="str">
        <f t="shared" si="6"/>
        <v>Batting First Won</v>
      </c>
      <c r="X188" t="str">
        <f t="shared" si="7"/>
        <v>Yes</v>
      </c>
      <c r="AA188" t="str">
        <f t="shared" si="8"/>
        <v>2010</v>
      </c>
    </row>
    <row r="189" spans="1:27" x14ac:dyDescent="0.35">
      <c r="A189">
        <v>188</v>
      </c>
      <c r="B189" t="s">
        <v>304</v>
      </c>
      <c r="C189" t="s">
        <v>55</v>
      </c>
      <c r="D189" t="s">
        <v>322</v>
      </c>
      <c r="E189" t="s">
        <v>29</v>
      </c>
      <c r="F189" t="s">
        <v>21</v>
      </c>
      <c r="G189" t="s">
        <v>29</v>
      </c>
      <c r="H189" t="s">
        <v>50</v>
      </c>
      <c r="I189" t="s">
        <v>23</v>
      </c>
      <c r="J189">
        <v>0</v>
      </c>
      <c r="K189" t="s">
        <v>21</v>
      </c>
      <c r="L189">
        <v>0</v>
      </c>
      <c r="M189">
        <v>7</v>
      </c>
      <c r="N189" t="s">
        <v>276</v>
      </c>
      <c r="O189" t="s">
        <v>307</v>
      </c>
      <c r="P189" t="s">
        <v>256</v>
      </c>
      <c r="Q189" t="s">
        <v>277</v>
      </c>
      <c r="U189" t="str">
        <f t="shared" si="6"/>
        <v>Chasing Won</v>
      </c>
      <c r="X189" t="str">
        <f t="shared" si="7"/>
        <v>No</v>
      </c>
      <c r="AA189" t="str">
        <f t="shared" si="8"/>
        <v>2010</v>
      </c>
    </row>
    <row r="190" spans="1:27" x14ac:dyDescent="0.35">
      <c r="A190">
        <v>189</v>
      </c>
      <c r="B190" t="s">
        <v>304</v>
      </c>
      <c r="C190" t="s">
        <v>319</v>
      </c>
      <c r="D190" t="s">
        <v>324</v>
      </c>
      <c r="E190" t="s">
        <v>154</v>
      </c>
      <c r="F190" t="s">
        <v>49</v>
      </c>
      <c r="G190" t="s">
        <v>154</v>
      </c>
      <c r="H190" t="s">
        <v>50</v>
      </c>
      <c r="I190" t="s">
        <v>23</v>
      </c>
      <c r="J190">
        <v>0</v>
      </c>
      <c r="K190" t="s">
        <v>154</v>
      </c>
      <c r="L190">
        <v>10</v>
      </c>
      <c r="M190">
        <v>0</v>
      </c>
      <c r="N190" t="s">
        <v>320</v>
      </c>
      <c r="O190" t="s">
        <v>321</v>
      </c>
      <c r="P190" t="s">
        <v>156</v>
      </c>
      <c r="Q190" t="s">
        <v>88</v>
      </c>
      <c r="U190" t="str">
        <f t="shared" si="6"/>
        <v>Batting First Won</v>
      </c>
      <c r="X190" t="str">
        <f t="shared" si="7"/>
        <v>Yes</v>
      </c>
      <c r="AA190" t="str">
        <f t="shared" si="8"/>
        <v>2010</v>
      </c>
    </row>
    <row r="191" spans="1:27" x14ac:dyDescent="0.35">
      <c r="A191">
        <v>190</v>
      </c>
      <c r="B191" t="s">
        <v>304</v>
      </c>
      <c r="C191" t="s">
        <v>167</v>
      </c>
      <c r="D191" t="s">
        <v>324</v>
      </c>
      <c r="E191" t="s">
        <v>43</v>
      </c>
      <c r="F191" t="s">
        <v>141</v>
      </c>
      <c r="G191" t="s">
        <v>141</v>
      </c>
      <c r="H191" t="s">
        <v>22</v>
      </c>
      <c r="I191" t="s">
        <v>105</v>
      </c>
      <c r="J191">
        <v>0</v>
      </c>
      <c r="K191" t="s">
        <v>43</v>
      </c>
      <c r="L191">
        <v>0</v>
      </c>
      <c r="M191">
        <v>0</v>
      </c>
      <c r="N191" t="s">
        <v>325</v>
      </c>
      <c r="O191" t="s">
        <v>170</v>
      </c>
      <c r="P191" t="s">
        <v>157</v>
      </c>
      <c r="Q191" t="s">
        <v>153</v>
      </c>
      <c r="U191" t="str">
        <f t="shared" si="6"/>
        <v>Chasing Won</v>
      </c>
      <c r="X191" t="str">
        <f t="shared" si="7"/>
        <v>No</v>
      </c>
      <c r="AA191" t="str">
        <f t="shared" si="8"/>
        <v>2010</v>
      </c>
    </row>
    <row r="192" spans="1:27" x14ac:dyDescent="0.35">
      <c r="A192">
        <v>191</v>
      </c>
      <c r="B192" t="s">
        <v>304</v>
      </c>
      <c r="C192" t="s">
        <v>55</v>
      </c>
      <c r="D192" t="s">
        <v>326</v>
      </c>
      <c r="E192" t="s">
        <v>37</v>
      </c>
      <c r="F192" t="s">
        <v>29</v>
      </c>
      <c r="G192" t="s">
        <v>37</v>
      </c>
      <c r="H192" t="s">
        <v>50</v>
      </c>
      <c r="I192" t="s">
        <v>23</v>
      </c>
      <c r="J192">
        <v>0</v>
      </c>
      <c r="K192" t="s">
        <v>29</v>
      </c>
      <c r="L192">
        <v>0</v>
      </c>
      <c r="M192">
        <v>7</v>
      </c>
      <c r="N192" t="s">
        <v>233</v>
      </c>
      <c r="O192" t="s">
        <v>307</v>
      </c>
      <c r="P192" t="s">
        <v>277</v>
      </c>
      <c r="Q192" t="s">
        <v>244</v>
      </c>
      <c r="U192" t="str">
        <f t="shared" si="6"/>
        <v>Chasing Won</v>
      </c>
      <c r="X192" t="str">
        <f t="shared" si="7"/>
        <v>No</v>
      </c>
      <c r="AA192" t="str">
        <f t="shared" si="8"/>
        <v>2010</v>
      </c>
    </row>
    <row r="193" spans="1:27" x14ac:dyDescent="0.35">
      <c r="A193">
        <v>192</v>
      </c>
      <c r="B193" t="s">
        <v>304</v>
      </c>
      <c r="C193" t="s">
        <v>48</v>
      </c>
      <c r="D193" t="s">
        <v>327</v>
      </c>
      <c r="E193" t="s">
        <v>21</v>
      </c>
      <c r="F193" t="s">
        <v>141</v>
      </c>
      <c r="G193" t="s">
        <v>141</v>
      </c>
      <c r="H193" t="s">
        <v>22</v>
      </c>
      <c r="I193" t="s">
        <v>23</v>
      </c>
      <c r="J193">
        <v>0</v>
      </c>
      <c r="K193" t="s">
        <v>21</v>
      </c>
      <c r="L193">
        <v>36</v>
      </c>
      <c r="M193">
        <v>0</v>
      </c>
      <c r="N193" t="s">
        <v>70</v>
      </c>
      <c r="O193" t="s">
        <v>52</v>
      </c>
      <c r="P193" t="s">
        <v>139</v>
      </c>
      <c r="Q193" t="s">
        <v>162</v>
      </c>
      <c r="U193" t="str">
        <f t="shared" si="6"/>
        <v>Batting First Won</v>
      </c>
      <c r="X193" t="str">
        <f t="shared" si="7"/>
        <v>No</v>
      </c>
      <c r="AA193" t="str">
        <f t="shared" si="8"/>
        <v>2010</v>
      </c>
    </row>
    <row r="194" spans="1:27" x14ac:dyDescent="0.35">
      <c r="A194">
        <v>193</v>
      </c>
      <c r="B194" t="s">
        <v>304</v>
      </c>
      <c r="C194" t="s">
        <v>101</v>
      </c>
      <c r="D194" t="s">
        <v>328</v>
      </c>
      <c r="E194" t="s">
        <v>146</v>
      </c>
      <c r="F194" t="s">
        <v>43</v>
      </c>
      <c r="G194" t="s">
        <v>43</v>
      </c>
      <c r="H194" t="s">
        <v>22</v>
      </c>
      <c r="I194" t="s">
        <v>23</v>
      </c>
      <c r="J194">
        <v>0</v>
      </c>
      <c r="K194" t="s">
        <v>146</v>
      </c>
      <c r="L194">
        <v>31</v>
      </c>
      <c r="M194">
        <v>0</v>
      </c>
      <c r="N194" t="s">
        <v>329</v>
      </c>
      <c r="O194" t="s">
        <v>143</v>
      </c>
      <c r="P194" t="s">
        <v>184</v>
      </c>
      <c r="Q194" t="s">
        <v>272</v>
      </c>
      <c r="U194" t="str">
        <f t="shared" si="6"/>
        <v>Batting First Won</v>
      </c>
      <c r="X194" t="str">
        <f t="shared" si="7"/>
        <v>No</v>
      </c>
      <c r="AA194" t="str">
        <f t="shared" si="8"/>
        <v>2010</v>
      </c>
    </row>
    <row r="195" spans="1:27" x14ac:dyDescent="0.35">
      <c r="A195">
        <v>194</v>
      </c>
      <c r="B195" t="s">
        <v>304</v>
      </c>
      <c r="C195" t="s">
        <v>55</v>
      </c>
      <c r="D195" t="s">
        <v>330</v>
      </c>
      <c r="E195" t="s">
        <v>141</v>
      </c>
      <c r="F195" t="s">
        <v>29</v>
      </c>
      <c r="G195" t="s">
        <v>29</v>
      </c>
      <c r="H195" t="s">
        <v>22</v>
      </c>
      <c r="I195" t="s">
        <v>23</v>
      </c>
      <c r="J195">
        <v>0</v>
      </c>
      <c r="K195" t="s">
        <v>29</v>
      </c>
      <c r="L195">
        <v>0</v>
      </c>
      <c r="M195">
        <v>5</v>
      </c>
      <c r="N195" t="s">
        <v>233</v>
      </c>
      <c r="O195" t="s">
        <v>307</v>
      </c>
      <c r="P195" t="s">
        <v>156</v>
      </c>
      <c r="Q195" t="s">
        <v>166</v>
      </c>
      <c r="U195" t="str">
        <f t="shared" ref="U195:U258" si="9">IF(L195&gt;0,"Batting First Won","Chasing Won")</f>
        <v>Chasing Won</v>
      </c>
      <c r="X195" t="str">
        <f t="shared" ref="X195:X258" si="10">IF(G195=K195,"Yes","No")</f>
        <v>Yes</v>
      </c>
      <c r="AA195" t="str">
        <f t="shared" ref="AA195:AA258" si="11">RIGHT(B195,4)</f>
        <v>2010</v>
      </c>
    </row>
    <row r="196" spans="1:27" x14ac:dyDescent="0.35">
      <c r="A196">
        <v>195</v>
      </c>
      <c r="B196" t="s">
        <v>304</v>
      </c>
      <c r="C196" t="s">
        <v>311</v>
      </c>
      <c r="D196" t="s">
        <v>331</v>
      </c>
      <c r="E196" t="s">
        <v>154</v>
      </c>
      <c r="F196" t="s">
        <v>146</v>
      </c>
      <c r="G196" t="s">
        <v>154</v>
      </c>
      <c r="H196" t="s">
        <v>50</v>
      </c>
      <c r="I196" t="s">
        <v>23</v>
      </c>
      <c r="J196">
        <v>0</v>
      </c>
      <c r="K196" t="s">
        <v>146</v>
      </c>
      <c r="L196">
        <v>0</v>
      </c>
      <c r="M196">
        <v>8</v>
      </c>
      <c r="N196" t="s">
        <v>172</v>
      </c>
      <c r="O196" t="s">
        <v>313</v>
      </c>
      <c r="P196" t="s">
        <v>256</v>
      </c>
      <c r="Q196" t="s">
        <v>244</v>
      </c>
      <c r="U196" t="str">
        <f t="shared" si="9"/>
        <v>Chasing Won</v>
      </c>
      <c r="X196" t="str">
        <f t="shared" si="10"/>
        <v>No</v>
      </c>
      <c r="AA196" t="str">
        <f t="shared" si="11"/>
        <v>2010</v>
      </c>
    </row>
    <row r="197" spans="1:27" x14ac:dyDescent="0.35">
      <c r="A197">
        <v>196</v>
      </c>
      <c r="B197" t="s">
        <v>304</v>
      </c>
      <c r="C197" t="s">
        <v>101</v>
      </c>
      <c r="D197" t="s">
        <v>332</v>
      </c>
      <c r="E197" t="s">
        <v>37</v>
      </c>
      <c r="F197" t="s">
        <v>43</v>
      </c>
      <c r="G197" t="s">
        <v>37</v>
      </c>
      <c r="H197" t="s">
        <v>50</v>
      </c>
      <c r="I197" t="s">
        <v>23</v>
      </c>
      <c r="J197">
        <v>0</v>
      </c>
      <c r="K197" t="s">
        <v>37</v>
      </c>
      <c r="L197">
        <v>39</v>
      </c>
      <c r="M197">
        <v>0</v>
      </c>
      <c r="N197" t="s">
        <v>309</v>
      </c>
      <c r="O197" t="s">
        <v>143</v>
      </c>
      <c r="P197" t="s">
        <v>184</v>
      </c>
      <c r="Q197" t="s">
        <v>34</v>
      </c>
      <c r="U197" t="str">
        <f t="shared" si="9"/>
        <v>Batting First Won</v>
      </c>
      <c r="X197" t="str">
        <f t="shared" si="10"/>
        <v>Yes</v>
      </c>
      <c r="AA197" t="str">
        <f t="shared" si="11"/>
        <v>2010</v>
      </c>
    </row>
    <row r="198" spans="1:27" x14ac:dyDescent="0.35">
      <c r="A198">
        <v>197</v>
      </c>
      <c r="B198" t="s">
        <v>304</v>
      </c>
      <c r="C198" t="s">
        <v>48</v>
      </c>
      <c r="D198" t="s">
        <v>330</v>
      </c>
      <c r="E198" t="s">
        <v>49</v>
      </c>
      <c r="F198" t="s">
        <v>21</v>
      </c>
      <c r="G198" t="s">
        <v>21</v>
      </c>
      <c r="H198" t="s">
        <v>22</v>
      </c>
      <c r="I198" t="s">
        <v>23</v>
      </c>
      <c r="J198">
        <v>0</v>
      </c>
      <c r="K198" t="s">
        <v>49</v>
      </c>
      <c r="L198">
        <v>17</v>
      </c>
      <c r="M198">
        <v>0</v>
      </c>
      <c r="N198" t="s">
        <v>51</v>
      </c>
      <c r="O198" t="s">
        <v>52</v>
      </c>
      <c r="P198" t="s">
        <v>202</v>
      </c>
      <c r="Q198" t="s">
        <v>139</v>
      </c>
      <c r="U198" t="str">
        <f t="shared" si="9"/>
        <v>Batting First Won</v>
      </c>
      <c r="X198" t="str">
        <f t="shared" si="10"/>
        <v>No</v>
      </c>
      <c r="AA198" t="str">
        <f t="shared" si="11"/>
        <v>2010</v>
      </c>
    </row>
    <row r="199" spans="1:27" x14ac:dyDescent="0.35">
      <c r="A199">
        <v>198</v>
      </c>
      <c r="B199" t="s">
        <v>304</v>
      </c>
      <c r="C199" t="s">
        <v>311</v>
      </c>
      <c r="D199" t="s">
        <v>333</v>
      </c>
      <c r="E199" t="s">
        <v>146</v>
      </c>
      <c r="F199" t="s">
        <v>141</v>
      </c>
      <c r="G199" t="s">
        <v>146</v>
      </c>
      <c r="H199" t="s">
        <v>50</v>
      </c>
      <c r="I199" t="s">
        <v>23</v>
      </c>
      <c r="J199">
        <v>0</v>
      </c>
      <c r="K199" t="s">
        <v>146</v>
      </c>
      <c r="L199">
        <v>17</v>
      </c>
      <c r="M199">
        <v>0</v>
      </c>
      <c r="N199" t="s">
        <v>334</v>
      </c>
      <c r="O199" t="s">
        <v>313</v>
      </c>
      <c r="P199" t="s">
        <v>277</v>
      </c>
      <c r="Q199" t="s">
        <v>244</v>
      </c>
      <c r="U199" t="str">
        <f t="shared" si="9"/>
        <v>Batting First Won</v>
      </c>
      <c r="X199" t="str">
        <f t="shared" si="10"/>
        <v>Yes</v>
      </c>
      <c r="AA199" t="str">
        <f t="shared" si="11"/>
        <v>2010</v>
      </c>
    </row>
    <row r="200" spans="1:27" x14ac:dyDescent="0.35">
      <c r="A200">
        <v>199</v>
      </c>
      <c r="B200" t="s">
        <v>304</v>
      </c>
      <c r="C200" t="s">
        <v>55</v>
      </c>
      <c r="D200" t="s">
        <v>333</v>
      </c>
      <c r="E200" t="s">
        <v>29</v>
      </c>
      <c r="F200" t="s">
        <v>154</v>
      </c>
      <c r="G200" t="s">
        <v>154</v>
      </c>
      <c r="H200" t="s">
        <v>22</v>
      </c>
      <c r="I200" t="s">
        <v>23</v>
      </c>
      <c r="J200">
        <v>0</v>
      </c>
      <c r="K200" t="s">
        <v>29</v>
      </c>
      <c r="L200">
        <v>41</v>
      </c>
      <c r="M200">
        <v>0</v>
      </c>
      <c r="N200" t="s">
        <v>283</v>
      </c>
      <c r="O200" t="s">
        <v>180</v>
      </c>
      <c r="P200" t="s">
        <v>315</v>
      </c>
      <c r="Q200" t="s">
        <v>157</v>
      </c>
      <c r="U200" t="str">
        <f t="shared" si="9"/>
        <v>Batting First Won</v>
      </c>
      <c r="X200" t="str">
        <f t="shared" si="10"/>
        <v>No</v>
      </c>
      <c r="AA200" t="str">
        <f t="shared" si="11"/>
        <v>2010</v>
      </c>
    </row>
    <row r="201" spans="1:27" x14ac:dyDescent="0.35">
      <c r="A201">
        <v>200</v>
      </c>
      <c r="B201" t="s">
        <v>304</v>
      </c>
      <c r="C201" t="s">
        <v>71</v>
      </c>
      <c r="D201" t="s">
        <v>335</v>
      </c>
      <c r="E201" t="s">
        <v>49</v>
      </c>
      <c r="F201" t="s">
        <v>37</v>
      </c>
      <c r="G201" t="s">
        <v>49</v>
      </c>
      <c r="H201" t="s">
        <v>50</v>
      </c>
      <c r="I201" t="s">
        <v>23</v>
      </c>
      <c r="J201">
        <v>0</v>
      </c>
      <c r="K201" t="s">
        <v>49</v>
      </c>
      <c r="L201">
        <v>40</v>
      </c>
      <c r="M201">
        <v>0</v>
      </c>
      <c r="N201" t="s">
        <v>109</v>
      </c>
      <c r="O201" t="s">
        <v>73</v>
      </c>
      <c r="P201" t="s">
        <v>277</v>
      </c>
      <c r="Q201" t="s">
        <v>244</v>
      </c>
      <c r="U201" t="str">
        <f t="shared" si="9"/>
        <v>Batting First Won</v>
      </c>
      <c r="X201" t="str">
        <f t="shared" si="10"/>
        <v>Yes</v>
      </c>
      <c r="AA201" t="str">
        <f t="shared" si="11"/>
        <v>2010</v>
      </c>
    </row>
    <row r="202" spans="1:27" x14ac:dyDescent="0.35">
      <c r="A202">
        <v>201</v>
      </c>
      <c r="B202" t="s">
        <v>304</v>
      </c>
      <c r="C202" t="s">
        <v>55</v>
      </c>
      <c r="D202" t="s">
        <v>336</v>
      </c>
      <c r="E202" t="s">
        <v>43</v>
      </c>
      <c r="F202" t="s">
        <v>29</v>
      </c>
      <c r="G202" t="s">
        <v>29</v>
      </c>
      <c r="H202" t="s">
        <v>22</v>
      </c>
      <c r="I202" t="s">
        <v>23</v>
      </c>
      <c r="J202">
        <v>0</v>
      </c>
      <c r="K202" t="s">
        <v>29</v>
      </c>
      <c r="L202">
        <v>0</v>
      </c>
      <c r="M202">
        <v>4</v>
      </c>
      <c r="N202" t="s">
        <v>337</v>
      </c>
      <c r="O202" t="s">
        <v>307</v>
      </c>
      <c r="P202" t="s">
        <v>184</v>
      </c>
      <c r="Q202" t="s">
        <v>272</v>
      </c>
      <c r="U202" t="str">
        <f t="shared" si="9"/>
        <v>Chasing Won</v>
      </c>
      <c r="X202" t="str">
        <f t="shared" si="10"/>
        <v>Yes</v>
      </c>
      <c r="AA202" t="str">
        <f t="shared" si="11"/>
        <v>2010</v>
      </c>
    </row>
    <row r="203" spans="1:27" x14ac:dyDescent="0.35">
      <c r="A203">
        <v>202</v>
      </c>
      <c r="B203" t="s">
        <v>304</v>
      </c>
      <c r="C203" t="s">
        <v>167</v>
      </c>
      <c r="D203" t="s">
        <v>338</v>
      </c>
      <c r="E203" t="s">
        <v>21</v>
      </c>
      <c r="F203" t="s">
        <v>141</v>
      </c>
      <c r="G203" t="s">
        <v>21</v>
      </c>
      <c r="H203" t="s">
        <v>50</v>
      </c>
      <c r="I203" t="s">
        <v>23</v>
      </c>
      <c r="J203">
        <v>0</v>
      </c>
      <c r="K203" t="s">
        <v>141</v>
      </c>
      <c r="L203">
        <v>0</v>
      </c>
      <c r="M203">
        <v>5</v>
      </c>
      <c r="N203" t="s">
        <v>339</v>
      </c>
      <c r="O203" t="s">
        <v>170</v>
      </c>
      <c r="P203" t="s">
        <v>202</v>
      </c>
      <c r="Q203" t="s">
        <v>139</v>
      </c>
      <c r="U203" t="str">
        <f t="shared" si="9"/>
        <v>Chasing Won</v>
      </c>
      <c r="X203" t="str">
        <f t="shared" si="10"/>
        <v>No</v>
      </c>
      <c r="AA203" t="str">
        <f t="shared" si="11"/>
        <v>2010</v>
      </c>
    </row>
    <row r="204" spans="1:27" x14ac:dyDescent="0.35">
      <c r="A204">
        <v>203</v>
      </c>
      <c r="B204" t="s">
        <v>304</v>
      </c>
      <c r="C204" t="s">
        <v>71</v>
      </c>
      <c r="D204" t="s">
        <v>338</v>
      </c>
      <c r="E204" t="s">
        <v>49</v>
      </c>
      <c r="F204" t="s">
        <v>146</v>
      </c>
      <c r="G204" t="s">
        <v>49</v>
      </c>
      <c r="H204" t="s">
        <v>50</v>
      </c>
      <c r="I204" t="s">
        <v>23</v>
      </c>
      <c r="J204">
        <v>0</v>
      </c>
      <c r="K204" t="s">
        <v>49</v>
      </c>
      <c r="L204">
        <v>67</v>
      </c>
      <c r="M204">
        <v>0</v>
      </c>
      <c r="N204" t="s">
        <v>222</v>
      </c>
      <c r="O204" t="s">
        <v>73</v>
      </c>
      <c r="P204" t="s">
        <v>256</v>
      </c>
      <c r="Q204" t="s">
        <v>244</v>
      </c>
      <c r="U204" t="str">
        <f t="shared" si="9"/>
        <v>Batting First Won</v>
      </c>
      <c r="X204" t="str">
        <f t="shared" si="10"/>
        <v>Yes</v>
      </c>
      <c r="AA204" t="str">
        <f t="shared" si="11"/>
        <v>2010</v>
      </c>
    </row>
    <row r="205" spans="1:27" x14ac:dyDescent="0.35">
      <c r="A205">
        <v>204</v>
      </c>
      <c r="B205" t="s">
        <v>304</v>
      </c>
      <c r="C205" t="s">
        <v>61</v>
      </c>
      <c r="D205" s="1">
        <v>40182</v>
      </c>
      <c r="E205" t="s">
        <v>37</v>
      </c>
      <c r="F205" t="s">
        <v>154</v>
      </c>
      <c r="G205" t="s">
        <v>37</v>
      </c>
      <c r="H205" t="s">
        <v>50</v>
      </c>
      <c r="I205" t="s">
        <v>23</v>
      </c>
      <c r="J205">
        <v>0</v>
      </c>
      <c r="K205" t="s">
        <v>37</v>
      </c>
      <c r="L205">
        <v>24</v>
      </c>
      <c r="M205">
        <v>0</v>
      </c>
      <c r="N205" t="s">
        <v>198</v>
      </c>
      <c r="O205" t="s">
        <v>64</v>
      </c>
      <c r="P205" t="s">
        <v>157</v>
      </c>
      <c r="Q205" t="s">
        <v>153</v>
      </c>
      <c r="U205" t="str">
        <f t="shared" si="9"/>
        <v>Batting First Won</v>
      </c>
      <c r="X205" t="str">
        <f t="shared" si="10"/>
        <v>Yes</v>
      </c>
      <c r="AA205" t="str">
        <f t="shared" si="11"/>
        <v>2010</v>
      </c>
    </row>
    <row r="206" spans="1:27" x14ac:dyDescent="0.35">
      <c r="A206">
        <v>205</v>
      </c>
      <c r="B206" t="s">
        <v>304</v>
      </c>
      <c r="C206" t="s">
        <v>101</v>
      </c>
      <c r="D206" s="1">
        <v>40213</v>
      </c>
      <c r="E206" t="s">
        <v>43</v>
      </c>
      <c r="F206" t="s">
        <v>21</v>
      </c>
      <c r="G206" t="s">
        <v>43</v>
      </c>
      <c r="H206" t="s">
        <v>50</v>
      </c>
      <c r="I206" t="s">
        <v>23</v>
      </c>
      <c r="J206">
        <v>0</v>
      </c>
      <c r="K206" t="s">
        <v>21</v>
      </c>
      <c r="L206">
        <v>0</v>
      </c>
      <c r="M206">
        <v>6</v>
      </c>
      <c r="N206" t="s">
        <v>340</v>
      </c>
      <c r="O206" t="s">
        <v>143</v>
      </c>
      <c r="P206" t="s">
        <v>156</v>
      </c>
      <c r="Q206" t="s">
        <v>88</v>
      </c>
      <c r="U206" t="str">
        <f t="shared" si="9"/>
        <v>Chasing Won</v>
      </c>
      <c r="X206" t="str">
        <f t="shared" si="10"/>
        <v>No</v>
      </c>
      <c r="AA206" t="str">
        <f t="shared" si="11"/>
        <v>2010</v>
      </c>
    </row>
    <row r="207" spans="1:27" x14ac:dyDescent="0.35">
      <c r="A207">
        <v>206</v>
      </c>
      <c r="B207" t="s">
        <v>304</v>
      </c>
      <c r="C207" t="s">
        <v>167</v>
      </c>
      <c r="D207" s="1">
        <v>40241</v>
      </c>
      <c r="E207" t="s">
        <v>141</v>
      </c>
      <c r="F207" t="s">
        <v>146</v>
      </c>
      <c r="G207" t="s">
        <v>141</v>
      </c>
      <c r="H207" t="s">
        <v>50</v>
      </c>
      <c r="I207" t="s">
        <v>23</v>
      </c>
      <c r="J207">
        <v>0</v>
      </c>
      <c r="K207" t="s">
        <v>141</v>
      </c>
      <c r="L207">
        <v>23</v>
      </c>
      <c r="M207">
        <v>0</v>
      </c>
      <c r="N207" t="s">
        <v>339</v>
      </c>
      <c r="O207" t="s">
        <v>170</v>
      </c>
      <c r="P207" t="s">
        <v>139</v>
      </c>
      <c r="Q207" t="s">
        <v>162</v>
      </c>
      <c r="U207" t="str">
        <f t="shared" si="9"/>
        <v>Batting First Won</v>
      </c>
      <c r="X207" t="str">
        <f t="shared" si="10"/>
        <v>Yes</v>
      </c>
      <c r="AA207" t="str">
        <f t="shared" si="11"/>
        <v>2010</v>
      </c>
    </row>
    <row r="208" spans="1:27" x14ac:dyDescent="0.35">
      <c r="A208">
        <v>207</v>
      </c>
      <c r="B208" t="s">
        <v>304</v>
      </c>
      <c r="C208" t="s">
        <v>55</v>
      </c>
      <c r="D208" s="1">
        <v>40241</v>
      </c>
      <c r="E208" t="s">
        <v>29</v>
      </c>
      <c r="F208" t="s">
        <v>154</v>
      </c>
      <c r="G208" t="s">
        <v>29</v>
      </c>
      <c r="H208" t="s">
        <v>50</v>
      </c>
      <c r="I208" t="s">
        <v>23</v>
      </c>
      <c r="J208">
        <v>0</v>
      </c>
      <c r="K208" t="s">
        <v>29</v>
      </c>
      <c r="L208">
        <v>63</v>
      </c>
      <c r="M208">
        <v>0</v>
      </c>
      <c r="N208" t="s">
        <v>126</v>
      </c>
      <c r="O208" t="s">
        <v>307</v>
      </c>
      <c r="P208" t="s">
        <v>184</v>
      </c>
      <c r="Q208" t="s">
        <v>34</v>
      </c>
      <c r="U208" t="str">
        <f t="shared" si="9"/>
        <v>Batting First Won</v>
      </c>
      <c r="X208" t="str">
        <f t="shared" si="10"/>
        <v>Yes</v>
      </c>
      <c r="AA208" t="str">
        <f t="shared" si="11"/>
        <v>2010</v>
      </c>
    </row>
    <row r="209" spans="1:27" x14ac:dyDescent="0.35">
      <c r="A209">
        <v>208</v>
      </c>
      <c r="B209" t="s">
        <v>304</v>
      </c>
      <c r="C209" t="s">
        <v>61</v>
      </c>
      <c r="D209" s="1">
        <v>40272</v>
      </c>
      <c r="E209" t="s">
        <v>37</v>
      </c>
      <c r="F209" t="s">
        <v>43</v>
      </c>
      <c r="G209" t="s">
        <v>37</v>
      </c>
      <c r="H209" t="s">
        <v>50</v>
      </c>
      <c r="I209" t="s">
        <v>23</v>
      </c>
      <c r="J209">
        <v>0</v>
      </c>
      <c r="K209" t="s">
        <v>43</v>
      </c>
      <c r="L209">
        <v>0</v>
      </c>
      <c r="M209">
        <v>8</v>
      </c>
      <c r="N209" t="s">
        <v>210</v>
      </c>
      <c r="O209" t="s">
        <v>64</v>
      </c>
      <c r="P209" t="s">
        <v>259</v>
      </c>
      <c r="Q209" t="s">
        <v>153</v>
      </c>
      <c r="U209" t="str">
        <f t="shared" si="9"/>
        <v>Chasing Won</v>
      </c>
      <c r="X209" t="str">
        <f t="shared" si="10"/>
        <v>No</v>
      </c>
      <c r="AA209" t="str">
        <f t="shared" si="11"/>
        <v>2010</v>
      </c>
    </row>
    <row r="210" spans="1:27" x14ac:dyDescent="0.35">
      <c r="A210">
        <v>209</v>
      </c>
      <c r="B210" t="s">
        <v>304</v>
      </c>
      <c r="C210" t="s">
        <v>71</v>
      </c>
      <c r="D210" s="1">
        <v>40272</v>
      </c>
      <c r="E210" t="s">
        <v>49</v>
      </c>
      <c r="F210" t="s">
        <v>21</v>
      </c>
      <c r="G210" t="s">
        <v>49</v>
      </c>
      <c r="H210" t="s">
        <v>50</v>
      </c>
      <c r="I210" t="s">
        <v>23</v>
      </c>
      <c r="J210">
        <v>0</v>
      </c>
      <c r="K210" t="s">
        <v>49</v>
      </c>
      <c r="L210">
        <v>37</v>
      </c>
      <c r="M210">
        <v>0</v>
      </c>
      <c r="N210" t="s">
        <v>341</v>
      </c>
      <c r="O210" t="s">
        <v>73</v>
      </c>
      <c r="P210" t="s">
        <v>156</v>
      </c>
      <c r="Q210" t="s">
        <v>88</v>
      </c>
      <c r="U210" t="str">
        <f t="shared" si="9"/>
        <v>Batting First Won</v>
      </c>
      <c r="X210" t="str">
        <f t="shared" si="10"/>
        <v>Yes</v>
      </c>
      <c r="AA210" t="str">
        <f t="shared" si="11"/>
        <v>2010</v>
      </c>
    </row>
    <row r="211" spans="1:27" x14ac:dyDescent="0.35">
      <c r="A211">
        <v>210</v>
      </c>
      <c r="B211" t="s">
        <v>304</v>
      </c>
      <c r="C211" t="s">
        <v>342</v>
      </c>
      <c r="D211" s="1">
        <v>40302</v>
      </c>
      <c r="E211" t="s">
        <v>146</v>
      </c>
      <c r="F211" t="s">
        <v>154</v>
      </c>
      <c r="G211" t="s">
        <v>146</v>
      </c>
      <c r="H211" t="s">
        <v>50</v>
      </c>
      <c r="I211" t="s">
        <v>23</v>
      </c>
      <c r="J211">
        <v>0</v>
      </c>
      <c r="K211" t="s">
        <v>146</v>
      </c>
      <c r="L211">
        <v>2</v>
      </c>
      <c r="M211">
        <v>0</v>
      </c>
      <c r="N211" t="s">
        <v>287</v>
      </c>
      <c r="O211" t="s">
        <v>343</v>
      </c>
      <c r="P211" t="s">
        <v>256</v>
      </c>
      <c r="Q211" t="s">
        <v>244</v>
      </c>
      <c r="U211" t="str">
        <f t="shared" si="9"/>
        <v>Batting First Won</v>
      </c>
      <c r="X211" t="str">
        <f t="shared" si="10"/>
        <v>Yes</v>
      </c>
      <c r="AA211" t="str">
        <f t="shared" si="11"/>
        <v>2010</v>
      </c>
    </row>
    <row r="212" spans="1:27" x14ac:dyDescent="0.35">
      <c r="A212">
        <v>211</v>
      </c>
      <c r="B212" t="s">
        <v>304</v>
      </c>
      <c r="C212" t="s">
        <v>167</v>
      </c>
      <c r="D212" s="1">
        <v>40333</v>
      </c>
      <c r="E212" t="s">
        <v>141</v>
      </c>
      <c r="F212" t="s">
        <v>29</v>
      </c>
      <c r="G212" t="s">
        <v>141</v>
      </c>
      <c r="H212" t="s">
        <v>50</v>
      </c>
      <c r="I212" t="s">
        <v>23</v>
      </c>
      <c r="J212">
        <v>0</v>
      </c>
      <c r="K212" t="s">
        <v>141</v>
      </c>
      <c r="L212">
        <v>24</v>
      </c>
      <c r="M212">
        <v>0</v>
      </c>
      <c r="N212" t="s">
        <v>90</v>
      </c>
      <c r="O212" t="s">
        <v>170</v>
      </c>
      <c r="P212" t="s">
        <v>259</v>
      </c>
      <c r="Q212" t="s">
        <v>153</v>
      </c>
      <c r="U212" t="str">
        <f t="shared" si="9"/>
        <v>Batting First Won</v>
      </c>
      <c r="X212" t="str">
        <f t="shared" si="10"/>
        <v>Yes</v>
      </c>
      <c r="AA212" t="str">
        <f t="shared" si="11"/>
        <v>2010</v>
      </c>
    </row>
    <row r="213" spans="1:27" x14ac:dyDescent="0.35">
      <c r="A213">
        <v>212</v>
      </c>
      <c r="B213" t="s">
        <v>304</v>
      </c>
      <c r="C213" t="s">
        <v>158</v>
      </c>
      <c r="D213" s="1">
        <v>40363</v>
      </c>
      <c r="E213" t="s">
        <v>43</v>
      </c>
      <c r="F213" t="s">
        <v>146</v>
      </c>
      <c r="G213" t="s">
        <v>43</v>
      </c>
      <c r="H213" t="s">
        <v>50</v>
      </c>
      <c r="I213" t="s">
        <v>23</v>
      </c>
      <c r="J213">
        <v>0</v>
      </c>
      <c r="K213" t="s">
        <v>146</v>
      </c>
      <c r="L213">
        <v>0</v>
      </c>
      <c r="M213">
        <v>9</v>
      </c>
      <c r="N213" t="s">
        <v>344</v>
      </c>
      <c r="O213" t="s">
        <v>161</v>
      </c>
      <c r="P213" t="s">
        <v>34</v>
      </c>
      <c r="Q213" t="s">
        <v>272</v>
      </c>
      <c r="U213" t="str">
        <f t="shared" si="9"/>
        <v>Chasing Won</v>
      </c>
      <c r="X213" t="str">
        <f t="shared" si="10"/>
        <v>No</v>
      </c>
      <c r="AA213" t="str">
        <f t="shared" si="11"/>
        <v>2010</v>
      </c>
    </row>
    <row r="214" spans="1:27" x14ac:dyDescent="0.35">
      <c r="A214">
        <v>213</v>
      </c>
      <c r="B214" t="s">
        <v>304</v>
      </c>
      <c r="C214" t="s">
        <v>61</v>
      </c>
      <c r="D214" s="1">
        <v>40363</v>
      </c>
      <c r="E214" t="s">
        <v>37</v>
      </c>
      <c r="F214" t="s">
        <v>49</v>
      </c>
      <c r="G214" t="s">
        <v>37</v>
      </c>
      <c r="H214" t="s">
        <v>50</v>
      </c>
      <c r="I214" t="s">
        <v>23</v>
      </c>
      <c r="J214">
        <v>0</v>
      </c>
      <c r="K214" t="s">
        <v>37</v>
      </c>
      <c r="L214">
        <v>14</v>
      </c>
      <c r="M214">
        <v>0</v>
      </c>
      <c r="N214" t="s">
        <v>198</v>
      </c>
      <c r="O214" t="s">
        <v>64</v>
      </c>
      <c r="P214" t="s">
        <v>202</v>
      </c>
      <c r="Q214" t="s">
        <v>139</v>
      </c>
      <c r="U214" t="str">
        <f t="shared" si="9"/>
        <v>Batting First Won</v>
      </c>
      <c r="X214" t="str">
        <f t="shared" si="10"/>
        <v>Yes</v>
      </c>
      <c r="AA214" t="str">
        <f t="shared" si="11"/>
        <v>2010</v>
      </c>
    </row>
    <row r="215" spans="1:27" x14ac:dyDescent="0.35">
      <c r="A215">
        <v>214</v>
      </c>
      <c r="B215" t="s">
        <v>304</v>
      </c>
      <c r="C215" t="s">
        <v>48</v>
      </c>
      <c r="D215" s="1">
        <v>40394</v>
      </c>
      <c r="E215" t="s">
        <v>21</v>
      </c>
      <c r="F215" t="s">
        <v>154</v>
      </c>
      <c r="G215" t="s">
        <v>154</v>
      </c>
      <c r="H215" t="s">
        <v>22</v>
      </c>
      <c r="I215" t="s">
        <v>23</v>
      </c>
      <c r="J215">
        <v>0</v>
      </c>
      <c r="K215" t="s">
        <v>154</v>
      </c>
      <c r="L215">
        <v>0</v>
      </c>
      <c r="M215">
        <v>7</v>
      </c>
      <c r="N215" t="s">
        <v>345</v>
      </c>
      <c r="O215" t="s">
        <v>52</v>
      </c>
      <c r="P215" t="s">
        <v>259</v>
      </c>
      <c r="Q215" t="s">
        <v>153</v>
      </c>
      <c r="U215" t="str">
        <f t="shared" si="9"/>
        <v>Chasing Won</v>
      </c>
      <c r="X215" t="str">
        <f t="shared" si="10"/>
        <v>Yes</v>
      </c>
      <c r="AA215" t="str">
        <f t="shared" si="11"/>
        <v>2010</v>
      </c>
    </row>
    <row r="216" spans="1:27" x14ac:dyDescent="0.35">
      <c r="A216">
        <v>215</v>
      </c>
      <c r="B216" t="s">
        <v>304</v>
      </c>
      <c r="C216" t="s">
        <v>101</v>
      </c>
      <c r="D216" s="1">
        <v>40425</v>
      </c>
      <c r="E216" t="s">
        <v>29</v>
      </c>
      <c r="F216" t="s">
        <v>43</v>
      </c>
      <c r="G216" t="s">
        <v>29</v>
      </c>
      <c r="H216" t="s">
        <v>50</v>
      </c>
      <c r="I216" t="s">
        <v>23</v>
      </c>
      <c r="J216">
        <v>0</v>
      </c>
      <c r="K216" t="s">
        <v>43</v>
      </c>
      <c r="L216">
        <v>0</v>
      </c>
      <c r="M216">
        <v>6</v>
      </c>
      <c r="N216" t="s">
        <v>174</v>
      </c>
      <c r="O216" t="s">
        <v>143</v>
      </c>
      <c r="P216" t="s">
        <v>88</v>
      </c>
      <c r="Q216" t="s">
        <v>166</v>
      </c>
      <c r="U216" t="str">
        <f t="shared" si="9"/>
        <v>Chasing Won</v>
      </c>
      <c r="X216" t="str">
        <f t="shared" si="10"/>
        <v>No</v>
      </c>
      <c r="AA216" t="str">
        <f t="shared" si="11"/>
        <v>2010</v>
      </c>
    </row>
    <row r="217" spans="1:27" x14ac:dyDescent="0.35">
      <c r="A217">
        <v>216</v>
      </c>
      <c r="B217" t="s">
        <v>304</v>
      </c>
      <c r="C217" t="s">
        <v>342</v>
      </c>
      <c r="D217" s="1">
        <v>40455</v>
      </c>
      <c r="E217" t="s">
        <v>141</v>
      </c>
      <c r="F217" t="s">
        <v>154</v>
      </c>
      <c r="G217" t="s">
        <v>141</v>
      </c>
      <c r="H217" t="s">
        <v>50</v>
      </c>
      <c r="I217" t="s">
        <v>23</v>
      </c>
      <c r="J217">
        <v>0</v>
      </c>
      <c r="K217" t="s">
        <v>154</v>
      </c>
      <c r="L217">
        <v>0</v>
      </c>
      <c r="M217">
        <v>6</v>
      </c>
      <c r="N217" t="s">
        <v>346</v>
      </c>
      <c r="O217" t="s">
        <v>343</v>
      </c>
      <c r="P217" t="s">
        <v>256</v>
      </c>
      <c r="Q217" t="s">
        <v>244</v>
      </c>
      <c r="U217" t="str">
        <f t="shared" si="9"/>
        <v>Chasing Won</v>
      </c>
      <c r="X217" t="str">
        <f t="shared" si="10"/>
        <v>No</v>
      </c>
      <c r="AA217" t="str">
        <f t="shared" si="11"/>
        <v>2010</v>
      </c>
    </row>
    <row r="218" spans="1:27" x14ac:dyDescent="0.35">
      <c r="A218">
        <v>217</v>
      </c>
      <c r="B218" t="s">
        <v>304</v>
      </c>
      <c r="C218" t="s">
        <v>48</v>
      </c>
      <c r="D218" s="1">
        <v>40455</v>
      </c>
      <c r="E218" t="s">
        <v>37</v>
      </c>
      <c r="F218" t="s">
        <v>21</v>
      </c>
      <c r="G218" t="s">
        <v>21</v>
      </c>
      <c r="H218" t="s">
        <v>22</v>
      </c>
      <c r="I218" t="s">
        <v>23</v>
      </c>
      <c r="J218">
        <v>0</v>
      </c>
      <c r="K218" t="s">
        <v>21</v>
      </c>
      <c r="L218">
        <v>0</v>
      </c>
      <c r="M218">
        <v>7</v>
      </c>
      <c r="N218" t="s">
        <v>192</v>
      </c>
      <c r="O218" t="s">
        <v>52</v>
      </c>
      <c r="P218" t="s">
        <v>157</v>
      </c>
      <c r="Q218" t="s">
        <v>153</v>
      </c>
      <c r="U218" t="str">
        <f t="shared" si="9"/>
        <v>Chasing Won</v>
      </c>
      <c r="X218" t="str">
        <f t="shared" si="10"/>
        <v>Yes</v>
      </c>
      <c r="AA218" t="str">
        <f t="shared" si="11"/>
        <v>2010</v>
      </c>
    </row>
    <row r="219" spans="1:27" x14ac:dyDescent="0.35">
      <c r="A219">
        <v>218</v>
      </c>
      <c r="B219" t="s">
        <v>304</v>
      </c>
      <c r="C219" t="s">
        <v>71</v>
      </c>
      <c r="D219" s="1">
        <v>40486</v>
      </c>
      <c r="E219" t="s">
        <v>49</v>
      </c>
      <c r="F219" t="s">
        <v>43</v>
      </c>
      <c r="G219" t="s">
        <v>49</v>
      </c>
      <c r="H219" t="s">
        <v>50</v>
      </c>
      <c r="I219" t="s">
        <v>23</v>
      </c>
      <c r="J219">
        <v>0</v>
      </c>
      <c r="K219" t="s">
        <v>43</v>
      </c>
      <c r="L219">
        <v>0</v>
      </c>
      <c r="M219">
        <v>7</v>
      </c>
      <c r="N219" t="s">
        <v>347</v>
      </c>
      <c r="O219" t="s">
        <v>73</v>
      </c>
      <c r="P219" t="s">
        <v>156</v>
      </c>
      <c r="Q219" t="s">
        <v>166</v>
      </c>
      <c r="U219" t="str">
        <f t="shared" si="9"/>
        <v>Chasing Won</v>
      </c>
      <c r="X219" t="str">
        <f t="shared" si="10"/>
        <v>No</v>
      </c>
      <c r="AA219" t="str">
        <f t="shared" si="11"/>
        <v>2010</v>
      </c>
    </row>
    <row r="220" spans="1:27" x14ac:dyDescent="0.35">
      <c r="A220">
        <v>219</v>
      </c>
      <c r="B220" t="s">
        <v>304</v>
      </c>
      <c r="C220" t="s">
        <v>158</v>
      </c>
      <c r="D220" s="1">
        <v>40486</v>
      </c>
      <c r="E220" t="s">
        <v>29</v>
      </c>
      <c r="F220" t="s">
        <v>146</v>
      </c>
      <c r="G220" t="s">
        <v>146</v>
      </c>
      <c r="H220" t="s">
        <v>22</v>
      </c>
      <c r="I220" t="s">
        <v>23</v>
      </c>
      <c r="J220">
        <v>0</v>
      </c>
      <c r="K220" t="s">
        <v>29</v>
      </c>
      <c r="L220">
        <v>37</v>
      </c>
      <c r="M220">
        <v>0</v>
      </c>
      <c r="N220" t="s">
        <v>233</v>
      </c>
      <c r="O220" t="s">
        <v>161</v>
      </c>
      <c r="P220" t="s">
        <v>184</v>
      </c>
      <c r="Q220" t="s">
        <v>272</v>
      </c>
      <c r="U220" t="str">
        <f t="shared" si="9"/>
        <v>Batting First Won</v>
      </c>
      <c r="X220" t="str">
        <f t="shared" si="10"/>
        <v>No</v>
      </c>
      <c r="AA220" t="str">
        <f t="shared" si="11"/>
        <v>2010</v>
      </c>
    </row>
    <row r="221" spans="1:27" x14ac:dyDescent="0.35">
      <c r="A221">
        <v>220</v>
      </c>
      <c r="B221" t="s">
        <v>304</v>
      </c>
      <c r="C221" t="s">
        <v>342</v>
      </c>
      <c r="D221" s="1">
        <v>40516</v>
      </c>
      <c r="E221" t="s">
        <v>154</v>
      </c>
      <c r="F221" t="s">
        <v>21</v>
      </c>
      <c r="G221" t="s">
        <v>21</v>
      </c>
      <c r="H221" t="s">
        <v>22</v>
      </c>
      <c r="I221" t="s">
        <v>23</v>
      </c>
      <c r="J221">
        <v>0</v>
      </c>
      <c r="K221" t="s">
        <v>154</v>
      </c>
      <c r="L221">
        <v>13</v>
      </c>
      <c r="M221">
        <v>0</v>
      </c>
      <c r="N221" t="s">
        <v>348</v>
      </c>
      <c r="O221" t="s">
        <v>343</v>
      </c>
      <c r="P221" t="s">
        <v>139</v>
      </c>
      <c r="Q221" t="s">
        <v>162</v>
      </c>
      <c r="U221" t="str">
        <f t="shared" si="9"/>
        <v>Batting First Won</v>
      </c>
      <c r="X221" t="str">
        <f t="shared" si="10"/>
        <v>No</v>
      </c>
      <c r="AA221" t="str">
        <f t="shared" si="11"/>
        <v>2010</v>
      </c>
    </row>
    <row r="222" spans="1:27" x14ac:dyDescent="0.35">
      <c r="A222">
        <v>221</v>
      </c>
      <c r="B222" t="s">
        <v>304</v>
      </c>
      <c r="C222" t="s">
        <v>55</v>
      </c>
      <c r="D222" t="s">
        <v>349</v>
      </c>
      <c r="E222" t="s">
        <v>29</v>
      </c>
      <c r="F222" t="s">
        <v>49</v>
      </c>
      <c r="G222" t="s">
        <v>29</v>
      </c>
      <c r="H222" t="s">
        <v>50</v>
      </c>
      <c r="I222" t="s">
        <v>23</v>
      </c>
      <c r="J222">
        <v>0</v>
      </c>
      <c r="K222" t="s">
        <v>29</v>
      </c>
      <c r="L222">
        <v>39</v>
      </c>
      <c r="M222">
        <v>0</v>
      </c>
      <c r="N222" t="s">
        <v>66</v>
      </c>
      <c r="O222" t="s">
        <v>307</v>
      </c>
      <c r="P222" t="s">
        <v>259</v>
      </c>
      <c r="Q222" t="s">
        <v>153</v>
      </c>
      <c r="U222" t="str">
        <f t="shared" si="9"/>
        <v>Batting First Won</v>
      </c>
      <c r="X222" t="str">
        <f t="shared" si="10"/>
        <v>Yes</v>
      </c>
      <c r="AA222" t="str">
        <f t="shared" si="11"/>
        <v>2010</v>
      </c>
    </row>
    <row r="223" spans="1:27" x14ac:dyDescent="0.35">
      <c r="A223">
        <v>222</v>
      </c>
      <c r="B223" t="s">
        <v>304</v>
      </c>
      <c r="C223" t="s">
        <v>167</v>
      </c>
      <c r="D223" t="s">
        <v>349</v>
      </c>
      <c r="E223" t="s">
        <v>37</v>
      </c>
      <c r="F223" t="s">
        <v>141</v>
      </c>
      <c r="G223" t="s">
        <v>37</v>
      </c>
      <c r="H223" t="s">
        <v>50</v>
      </c>
      <c r="I223" t="s">
        <v>23</v>
      </c>
      <c r="J223">
        <v>0</v>
      </c>
      <c r="K223" t="s">
        <v>141</v>
      </c>
      <c r="L223">
        <v>0</v>
      </c>
      <c r="M223">
        <v>9</v>
      </c>
      <c r="N223" t="s">
        <v>350</v>
      </c>
      <c r="O223" t="s">
        <v>170</v>
      </c>
      <c r="P223" t="s">
        <v>277</v>
      </c>
      <c r="Q223" t="s">
        <v>244</v>
      </c>
      <c r="U223" t="str">
        <f t="shared" si="9"/>
        <v>Chasing Won</v>
      </c>
      <c r="X223" t="str">
        <f t="shared" si="10"/>
        <v>No</v>
      </c>
      <c r="AA223" t="str">
        <f t="shared" si="11"/>
        <v>2010</v>
      </c>
    </row>
    <row r="224" spans="1:27" x14ac:dyDescent="0.35">
      <c r="A224">
        <v>223</v>
      </c>
      <c r="B224" t="s">
        <v>304</v>
      </c>
      <c r="C224" t="s">
        <v>158</v>
      </c>
      <c r="D224" t="s">
        <v>351</v>
      </c>
      <c r="E224" t="s">
        <v>146</v>
      </c>
      <c r="F224" t="s">
        <v>21</v>
      </c>
      <c r="G224" t="s">
        <v>146</v>
      </c>
      <c r="H224" t="s">
        <v>50</v>
      </c>
      <c r="I224" t="s">
        <v>23</v>
      </c>
      <c r="J224">
        <v>0</v>
      </c>
      <c r="K224" t="s">
        <v>21</v>
      </c>
      <c r="L224">
        <v>0</v>
      </c>
      <c r="M224">
        <v>5</v>
      </c>
      <c r="N224" t="s">
        <v>340</v>
      </c>
      <c r="O224" t="s">
        <v>161</v>
      </c>
      <c r="P224" t="s">
        <v>184</v>
      </c>
      <c r="Q224" t="s">
        <v>34</v>
      </c>
      <c r="U224" t="str">
        <f t="shared" si="9"/>
        <v>Chasing Won</v>
      </c>
      <c r="X224" t="str">
        <f t="shared" si="10"/>
        <v>No</v>
      </c>
      <c r="AA224" t="str">
        <f t="shared" si="11"/>
        <v>2010</v>
      </c>
    </row>
    <row r="225" spans="1:27" x14ac:dyDescent="0.35">
      <c r="A225">
        <v>224</v>
      </c>
      <c r="B225" t="s">
        <v>304</v>
      </c>
      <c r="C225" t="s">
        <v>167</v>
      </c>
      <c r="D225" t="s">
        <v>352</v>
      </c>
      <c r="E225" t="s">
        <v>141</v>
      </c>
      <c r="F225" t="s">
        <v>49</v>
      </c>
      <c r="G225" t="s">
        <v>141</v>
      </c>
      <c r="H225" t="s">
        <v>50</v>
      </c>
      <c r="I225" t="s">
        <v>23</v>
      </c>
      <c r="J225">
        <v>0</v>
      </c>
      <c r="K225" t="s">
        <v>49</v>
      </c>
      <c r="L225">
        <v>0</v>
      </c>
      <c r="M225">
        <v>6</v>
      </c>
      <c r="N225" t="s">
        <v>100</v>
      </c>
      <c r="O225" t="s">
        <v>170</v>
      </c>
      <c r="P225" t="s">
        <v>256</v>
      </c>
      <c r="Q225" t="s">
        <v>277</v>
      </c>
      <c r="U225" t="str">
        <f t="shared" si="9"/>
        <v>Chasing Won</v>
      </c>
      <c r="X225" t="str">
        <f t="shared" si="10"/>
        <v>No</v>
      </c>
      <c r="AA225" t="str">
        <f t="shared" si="11"/>
        <v>2010</v>
      </c>
    </row>
    <row r="226" spans="1:27" x14ac:dyDescent="0.35">
      <c r="A226">
        <v>225</v>
      </c>
      <c r="B226" t="s">
        <v>304</v>
      </c>
      <c r="C226" t="s">
        <v>353</v>
      </c>
      <c r="D226" t="s">
        <v>354</v>
      </c>
      <c r="E226" t="s">
        <v>43</v>
      </c>
      <c r="F226" t="s">
        <v>154</v>
      </c>
      <c r="G226" t="s">
        <v>154</v>
      </c>
      <c r="H226" t="s">
        <v>22</v>
      </c>
      <c r="I226" t="s">
        <v>23</v>
      </c>
      <c r="J226">
        <v>0</v>
      </c>
      <c r="K226" t="s">
        <v>154</v>
      </c>
      <c r="L226">
        <v>0</v>
      </c>
      <c r="M226">
        <v>5</v>
      </c>
      <c r="N226" t="s">
        <v>110</v>
      </c>
      <c r="O226" t="s">
        <v>355</v>
      </c>
      <c r="P226" t="s">
        <v>88</v>
      </c>
      <c r="Q226" t="s">
        <v>166</v>
      </c>
      <c r="U226" t="str">
        <f t="shared" si="9"/>
        <v>Chasing Won</v>
      </c>
      <c r="X226" t="str">
        <f t="shared" si="10"/>
        <v>Yes</v>
      </c>
      <c r="AA226" t="str">
        <f t="shared" si="11"/>
        <v>2010</v>
      </c>
    </row>
    <row r="227" spans="1:27" x14ac:dyDescent="0.35">
      <c r="A227">
        <v>226</v>
      </c>
      <c r="B227" t="s">
        <v>304</v>
      </c>
      <c r="C227" t="s">
        <v>48</v>
      </c>
      <c r="D227" t="s">
        <v>356</v>
      </c>
      <c r="E227" t="s">
        <v>29</v>
      </c>
      <c r="F227" t="s">
        <v>21</v>
      </c>
      <c r="G227" t="s">
        <v>21</v>
      </c>
      <c r="H227" t="s">
        <v>22</v>
      </c>
      <c r="I227" t="s">
        <v>23</v>
      </c>
      <c r="J227">
        <v>0</v>
      </c>
      <c r="K227" t="s">
        <v>29</v>
      </c>
      <c r="L227">
        <v>57</v>
      </c>
      <c r="M227">
        <v>0</v>
      </c>
      <c r="N227" t="s">
        <v>357</v>
      </c>
      <c r="O227" t="s">
        <v>52</v>
      </c>
      <c r="P227" t="s">
        <v>256</v>
      </c>
      <c r="Q227" t="s">
        <v>244</v>
      </c>
      <c r="U227" t="str">
        <f t="shared" si="9"/>
        <v>Batting First Won</v>
      </c>
      <c r="X227" t="str">
        <f t="shared" si="10"/>
        <v>No</v>
      </c>
      <c r="AA227" t="str">
        <f t="shared" si="11"/>
        <v>2010</v>
      </c>
    </row>
    <row r="228" spans="1:27" x14ac:dyDescent="0.35">
      <c r="A228">
        <v>227</v>
      </c>
      <c r="B228" t="s">
        <v>304</v>
      </c>
      <c r="C228" t="s">
        <v>61</v>
      </c>
      <c r="D228" t="s">
        <v>356</v>
      </c>
      <c r="E228" t="s">
        <v>146</v>
      </c>
      <c r="F228" t="s">
        <v>37</v>
      </c>
      <c r="G228" t="s">
        <v>146</v>
      </c>
      <c r="H228" t="s">
        <v>50</v>
      </c>
      <c r="I228" t="s">
        <v>23</v>
      </c>
      <c r="J228">
        <v>0</v>
      </c>
      <c r="K228" t="s">
        <v>37</v>
      </c>
      <c r="L228">
        <v>0</v>
      </c>
      <c r="M228">
        <v>8</v>
      </c>
      <c r="N228" t="s">
        <v>114</v>
      </c>
      <c r="O228" t="s">
        <v>64</v>
      </c>
      <c r="P228" t="s">
        <v>202</v>
      </c>
      <c r="Q228" t="s">
        <v>162</v>
      </c>
      <c r="U228" t="str">
        <f t="shared" si="9"/>
        <v>Chasing Won</v>
      </c>
      <c r="X228" t="str">
        <f t="shared" si="10"/>
        <v>No</v>
      </c>
      <c r="AA228" t="str">
        <f t="shared" si="11"/>
        <v>2010</v>
      </c>
    </row>
    <row r="229" spans="1:27" x14ac:dyDescent="0.35">
      <c r="A229">
        <v>228</v>
      </c>
      <c r="B229" t="s">
        <v>304</v>
      </c>
      <c r="C229" t="s">
        <v>353</v>
      </c>
      <c r="D229" t="s">
        <v>358</v>
      </c>
      <c r="E229" t="s">
        <v>43</v>
      </c>
      <c r="F229" t="s">
        <v>141</v>
      </c>
      <c r="G229" t="s">
        <v>141</v>
      </c>
      <c r="H229" t="s">
        <v>22</v>
      </c>
      <c r="I229" t="s">
        <v>23</v>
      </c>
      <c r="J229">
        <v>0</v>
      </c>
      <c r="K229" t="s">
        <v>141</v>
      </c>
      <c r="L229">
        <v>0</v>
      </c>
      <c r="M229">
        <v>6</v>
      </c>
      <c r="N229" t="s">
        <v>93</v>
      </c>
      <c r="O229" t="s">
        <v>355</v>
      </c>
      <c r="P229" t="s">
        <v>156</v>
      </c>
      <c r="Q229" t="s">
        <v>166</v>
      </c>
      <c r="U229" t="str">
        <f t="shared" si="9"/>
        <v>Chasing Won</v>
      </c>
      <c r="X229" t="str">
        <f t="shared" si="10"/>
        <v>Yes</v>
      </c>
      <c r="AA229" t="str">
        <f t="shared" si="11"/>
        <v>2010</v>
      </c>
    </row>
    <row r="230" spans="1:27" x14ac:dyDescent="0.35">
      <c r="A230">
        <v>229</v>
      </c>
      <c r="B230" t="s">
        <v>304</v>
      </c>
      <c r="C230" t="s">
        <v>71</v>
      </c>
      <c r="D230" t="s">
        <v>358</v>
      </c>
      <c r="E230" t="s">
        <v>154</v>
      </c>
      <c r="F230" t="s">
        <v>49</v>
      </c>
      <c r="G230" t="s">
        <v>154</v>
      </c>
      <c r="H230" t="s">
        <v>50</v>
      </c>
      <c r="I230" t="s">
        <v>23</v>
      </c>
      <c r="J230">
        <v>0</v>
      </c>
      <c r="K230" t="s">
        <v>154</v>
      </c>
      <c r="L230">
        <v>11</v>
      </c>
      <c r="M230">
        <v>0</v>
      </c>
      <c r="N230" t="s">
        <v>320</v>
      </c>
      <c r="O230" t="s">
        <v>73</v>
      </c>
      <c r="P230" t="s">
        <v>184</v>
      </c>
      <c r="Q230" t="s">
        <v>272</v>
      </c>
      <c r="U230" t="str">
        <f t="shared" si="9"/>
        <v>Batting First Won</v>
      </c>
      <c r="X230" t="str">
        <f t="shared" si="10"/>
        <v>Yes</v>
      </c>
      <c r="AA230" t="str">
        <f t="shared" si="11"/>
        <v>2010</v>
      </c>
    </row>
    <row r="231" spans="1:27" x14ac:dyDescent="0.35">
      <c r="A231">
        <v>230</v>
      </c>
      <c r="B231" t="s">
        <v>304</v>
      </c>
      <c r="C231" t="s">
        <v>61</v>
      </c>
      <c r="D231" t="s">
        <v>359</v>
      </c>
      <c r="E231" t="s">
        <v>29</v>
      </c>
      <c r="F231" t="s">
        <v>37</v>
      </c>
      <c r="G231" t="s">
        <v>29</v>
      </c>
      <c r="H231" t="s">
        <v>50</v>
      </c>
      <c r="I231" t="s">
        <v>23</v>
      </c>
      <c r="J231">
        <v>0</v>
      </c>
      <c r="K231" t="s">
        <v>37</v>
      </c>
      <c r="L231">
        <v>0</v>
      </c>
      <c r="M231">
        <v>9</v>
      </c>
      <c r="N231" t="s">
        <v>360</v>
      </c>
      <c r="O231" t="s">
        <v>64</v>
      </c>
      <c r="P231" t="s">
        <v>202</v>
      </c>
      <c r="Q231" t="s">
        <v>139</v>
      </c>
      <c r="U231" t="str">
        <f t="shared" si="9"/>
        <v>Chasing Won</v>
      </c>
      <c r="X231" t="str">
        <f t="shared" si="10"/>
        <v>No</v>
      </c>
      <c r="AA231" t="str">
        <f t="shared" si="11"/>
        <v>2010</v>
      </c>
    </row>
    <row r="232" spans="1:27" x14ac:dyDescent="0.35">
      <c r="A232">
        <v>231</v>
      </c>
      <c r="B232" t="s">
        <v>304</v>
      </c>
      <c r="C232" t="s">
        <v>55</v>
      </c>
      <c r="D232" t="s">
        <v>361</v>
      </c>
      <c r="E232" t="s">
        <v>29</v>
      </c>
      <c r="F232" t="s">
        <v>21</v>
      </c>
      <c r="G232" t="s">
        <v>29</v>
      </c>
      <c r="H232" t="s">
        <v>50</v>
      </c>
      <c r="I232" t="s">
        <v>23</v>
      </c>
      <c r="J232">
        <v>0</v>
      </c>
      <c r="K232" t="s">
        <v>29</v>
      </c>
      <c r="L232">
        <v>35</v>
      </c>
      <c r="M232">
        <v>0</v>
      </c>
      <c r="N232" t="s">
        <v>66</v>
      </c>
      <c r="O232" t="s">
        <v>180</v>
      </c>
      <c r="P232" t="s">
        <v>184</v>
      </c>
      <c r="Q232" t="s">
        <v>162</v>
      </c>
      <c r="U232" t="str">
        <f t="shared" si="9"/>
        <v>Batting First Won</v>
      </c>
      <c r="X232" t="str">
        <f t="shared" si="10"/>
        <v>Yes</v>
      </c>
      <c r="AA232" t="str">
        <f t="shared" si="11"/>
        <v>2010</v>
      </c>
    </row>
    <row r="233" spans="1:27" x14ac:dyDescent="0.35">
      <c r="A233">
        <v>232</v>
      </c>
      <c r="B233" t="s">
        <v>304</v>
      </c>
      <c r="C233" t="s">
        <v>55</v>
      </c>
      <c r="D233" t="s">
        <v>362</v>
      </c>
      <c r="E233" t="s">
        <v>141</v>
      </c>
      <c r="F233" t="s">
        <v>154</v>
      </c>
      <c r="G233" t="s">
        <v>141</v>
      </c>
      <c r="H233" t="s">
        <v>50</v>
      </c>
      <c r="I233" t="s">
        <v>23</v>
      </c>
      <c r="J233">
        <v>0</v>
      </c>
      <c r="K233" t="s">
        <v>141</v>
      </c>
      <c r="L233">
        <v>38</v>
      </c>
      <c r="M233">
        <v>0</v>
      </c>
      <c r="N233" t="s">
        <v>363</v>
      </c>
      <c r="O233" t="s">
        <v>180</v>
      </c>
      <c r="P233" t="s">
        <v>184</v>
      </c>
      <c r="Q233" t="s">
        <v>162</v>
      </c>
      <c r="U233" t="str">
        <f t="shared" si="9"/>
        <v>Batting First Won</v>
      </c>
      <c r="X233" t="str">
        <f t="shared" si="10"/>
        <v>Yes</v>
      </c>
      <c r="AA233" t="str">
        <f t="shared" si="11"/>
        <v>2010</v>
      </c>
    </row>
    <row r="234" spans="1:27" x14ac:dyDescent="0.35">
      <c r="A234">
        <v>233</v>
      </c>
      <c r="B234" t="s">
        <v>304</v>
      </c>
      <c r="C234" t="s">
        <v>55</v>
      </c>
      <c r="D234" t="s">
        <v>364</v>
      </c>
      <c r="E234" t="s">
        <v>154</v>
      </c>
      <c r="F234" t="s">
        <v>21</v>
      </c>
      <c r="G234" t="s">
        <v>154</v>
      </c>
      <c r="H234" t="s">
        <v>50</v>
      </c>
      <c r="I234" t="s">
        <v>23</v>
      </c>
      <c r="J234">
        <v>0</v>
      </c>
      <c r="K234" t="s">
        <v>21</v>
      </c>
      <c r="L234">
        <v>0</v>
      </c>
      <c r="M234">
        <v>9</v>
      </c>
      <c r="N234" t="s">
        <v>219</v>
      </c>
      <c r="O234" t="s">
        <v>180</v>
      </c>
      <c r="P234" t="s">
        <v>139</v>
      </c>
      <c r="Q234" t="s">
        <v>244</v>
      </c>
      <c r="U234" t="str">
        <f t="shared" si="9"/>
        <v>Chasing Won</v>
      </c>
      <c r="X234" t="str">
        <f t="shared" si="10"/>
        <v>No</v>
      </c>
      <c r="AA234" t="str">
        <f t="shared" si="11"/>
        <v>2010</v>
      </c>
    </row>
    <row r="235" spans="1:27" x14ac:dyDescent="0.35">
      <c r="A235">
        <v>234</v>
      </c>
      <c r="B235" t="s">
        <v>304</v>
      </c>
      <c r="C235" t="s">
        <v>55</v>
      </c>
      <c r="D235" t="s">
        <v>365</v>
      </c>
      <c r="E235" t="s">
        <v>141</v>
      </c>
      <c r="F235" t="s">
        <v>29</v>
      </c>
      <c r="G235" t="s">
        <v>141</v>
      </c>
      <c r="H235" t="s">
        <v>50</v>
      </c>
      <c r="I235" t="s">
        <v>23</v>
      </c>
      <c r="J235">
        <v>0</v>
      </c>
      <c r="K235" t="s">
        <v>141</v>
      </c>
      <c r="L235">
        <v>22</v>
      </c>
      <c r="M235">
        <v>0</v>
      </c>
      <c r="N235" t="s">
        <v>90</v>
      </c>
      <c r="O235" t="s">
        <v>180</v>
      </c>
      <c r="P235" t="s">
        <v>139</v>
      </c>
      <c r="Q235" t="s">
        <v>244</v>
      </c>
      <c r="U235" t="str">
        <f t="shared" si="9"/>
        <v>Batting First Won</v>
      </c>
      <c r="X235" t="str">
        <f t="shared" si="10"/>
        <v>Yes</v>
      </c>
      <c r="AA235" t="str">
        <f t="shared" si="11"/>
        <v>2010</v>
      </c>
    </row>
    <row r="236" spans="1:27" x14ac:dyDescent="0.35">
      <c r="A236">
        <v>235</v>
      </c>
      <c r="B236" t="s">
        <v>366</v>
      </c>
      <c r="C236" t="s">
        <v>167</v>
      </c>
      <c r="D236" s="1">
        <v>40759</v>
      </c>
      <c r="E236" t="s">
        <v>141</v>
      </c>
      <c r="F236" t="s">
        <v>37</v>
      </c>
      <c r="G236" t="s">
        <v>141</v>
      </c>
      <c r="H236" t="s">
        <v>50</v>
      </c>
      <c r="I236" t="s">
        <v>23</v>
      </c>
      <c r="J236">
        <v>0</v>
      </c>
      <c r="K236" t="s">
        <v>141</v>
      </c>
      <c r="L236">
        <v>2</v>
      </c>
      <c r="M236">
        <v>0</v>
      </c>
      <c r="N236" t="s">
        <v>367</v>
      </c>
      <c r="O236" t="s">
        <v>170</v>
      </c>
      <c r="P236" t="s">
        <v>184</v>
      </c>
      <c r="Q236" t="s">
        <v>368</v>
      </c>
      <c r="U236" t="str">
        <f t="shared" si="9"/>
        <v>Batting First Won</v>
      </c>
      <c r="X236" t="str">
        <f t="shared" si="10"/>
        <v>Yes</v>
      </c>
      <c r="AA236" t="str">
        <f t="shared" si="11"/>
        <v>2011</v>
      </c>
    </row>
    <row r="237" spans="1:27" x14ac:dyDescent="0.35">
      <c r="A237">
        <v>236</v>
      </c>
      <c r="B237" t="s">
        <v>366</v>
      </c>
      <c r="C237" t="s">
        <v>19</v>
      </c>
      <c r="D237" s="1">
        <v>40790</v>
      </c>
      <c r="E237" t="s">
        <v>154</v>
      </c>
      <c r="F237" t="s">
        <v>146</v>
      </c>
      <c r="G237" t="s">
        <v>146</v>
      </c>
      <c r="H237" t="s">
        <v>22</v>
      </c>
      <c r="I237" t="s">
        <v>23</v>
      </c>
      <c r="J237">
        <v>0</v>
      </c>
      <c r="K237" t="s">
        <v>146</v>
      </c>
      <c r="L237">
        <v>0</v>
      </c>
      <c r="M237">
        <v>8</v>
      </c>
      <c r="N237" t="s">
        <v>369</v>
      </c>
      <c r="O237" t="s">
        <v>25</v>
      </c>
      <c r="P237" t="s">
        <v>139</v>
      </c>
      <c r="Q237" t="s">
        <v>272</v>
      </c>
      <c r="U237" t="str">
        <f t="shared" si="9"/>
        <v>Chasing Won</v>
      </c>
      <c r="X237" t="str">
        <f t="shared" si="10"/>
        <v>Yes</v>
      </c>
      <c r="AA237" t="str">
        <f t="shared" si="11"/>
        <v>2011</v>
      </c>
    </row>
    <row r="238" spans="1:27" x14ac:dyDescent="0.35">
      <c r="A238">
        <v>237</v>
      </c>
      <c r="B238" t="s">
        <v>366</v>
      </c>
      <c r="C238" t="s">
        <v>370</v>
      </c>
      <c r="D238" s="1">
        <v>40790</v>
      </c>
      <c r="E238" t="s">
        <v>371</v>
      </c>
      <c r="F238" t="s">
        <v>21</v>
      </c>
      <c r="G238" t="s">
        <v>371</v>
      </c>
      <c r="H238" t="s">
        <v>50</v>
      </c>
      <c r="I238" t="s">
        <v>23</v>
      </c>
      <c r="J238">
        <v>0</v>
      </c>
      <c r="K238" t="s">
        <v>21</v>
      </c>
      <c r="L238">
        <v>0</v>
      </c>
      <c r="M238">
        <v>6</v>
      </c>
      <c r="N238" t="s">
        <v>250</v>
      </c>
      <c r="O238" t="s">
        <v>372</v>
      </c>
      <c r="P238" t="s">
        <v>256</v>
      </c>
      <c r="Q238" t="s">
        <v>157</v>
      </c>
      <c r="U238" t="str">
        <f t="shared" si="9"/>
        <v>Chasing Won</v>
      </c>
      <c r="X238" t="str">
        <f t="shared" si="10"/>
        <v>No</v>
      </c>
      <c r="AA238" t="str">
        <f t="shared" si="11"/>
        <v>2011</v>
      </c>
    </row>
    <row r="239" spans="1:27" x14ac:dyDescent="0.35">
      <c r="A239">
        <v>238</v>
      </c>
      <c r="B239" t="s">
        <v>366</v>
      </c>
      <c r="C239" t="s">
        <v>71</v>
      </c>
      <c r="D239" s="1">
        <v>40820</v>
      </c>
      <c r="E239" t="s">
        <v>49</v>
      </c>
      <c r="F239" t="s">
        <v>29</v>
      </c>
      <c r="G239" t="s">
        <v>49</v>
      </c>
      <c r="H239" t="s">
        <v>50</v>
      </c>
      <c r="I239" t="s">
        <v>23</v>
      </c>
      <c r="J239">
        <v>0</v>
      </c>
      <c r="K239" t="s">
        <v>29</v>
      </c>
      <c r="L239">
        <v>0</v>
      </c>
      <c r="M239">
        <v>8</v>
      </c>
      <c r="N239" t="s">
        <v>337</v>
      </c>
      <c r="O239" t="s">
        <v>73</v>
      </c>
      <c r="P239" t="s">
        <v>166</v>
      </c>
      <c r="Q239" t="s">
        <v>162</v>
      </c>
      <c r="U239" t="str">
        <f t="shared" si="9"/>
        <v>Chasing Won</v>
      </c>
      <c r="X239" t="str">
        <f t="shared" si="10"/>
        <v>No</v>
      </c>
      <c r="AA239" t="str">
        <f t="shared" si="11"/>
        <v>2011</v>
      </c>
    </row>
    <row r="240" spans="1:27" x14ac:dyDescent="0.35">
      <c r="A240">
        <v>239</v>
      </c>
      <c r="B240" t="s">
        <v>366</v>
      </c>
      <c r="C240" t="s">
        <v>55</v>
      </c>
      <c r="D240" s="1">
        <v>40820</v>
      </c>
      <c r="E240" t="s">
        <v>43</v>
      </c>
      <c r="F240" t="s">
        <v>373</v>
      </c>
      <c r="G240" t="s">
        <v>43</v>
      </c>
      <c r="H240" t="s">
        <v>50</v>
      </c>
      <c r="I240" t="s">
        <v>23</v>
      </c>
      <c r="J240">
        <v>0</v>
      </c>
      <c r="K240" t="s">
        <v>373</v>
      </c>
      <c r="L240">
        <v>0</v>
      </c>
      <c r="M240">
        <v>7</v>
      </c>
      <c r="N240" t="s">
        <v>374</v>
      </c>
      <c r="O240" t="s">
        <v>180</v>
      </c>
      <c r="P240" t="s">
        <v>184</v>
      </c>
      <c r="Q240" t="s">
        <v>368</v>
      </c>
      <c r="U240" t="str">
        <f t="shared" si="9"/>
        <v>Chasing Won</v>
      </c>
      <c r="X240" t="str">
        <f t="shared" si="10"/>
        <v>No</v>
      </c>
      <c r="AA240" t="str">
        <f t="shared" si="11"/>
        <v>2011</v>
      </c>
    </row>
    <row r="241" spans="1:27" x14ac:dyDescent="0.35">
      <c r="A241">
        <v>240</v>
      </c>
      <c r="B241" t="s">
        <v>366</v>
      </c>
      <c r="C241" t="s">
        <v>61</v>
      </c>
      <c r="D241" s="1">
        <v>40851</v>
      </c>
      <c r="E241" t="s">
        <v>37</v>
      </c>
      <c r="F241" t="s">
        <v>154</v>
      </c>
      <c r="G241" t="s">
        <v>37</v>
      </c>
      <c r="H241" t="s">
        <v>50</v>
      </c>
      <c r="I241" t="s">
        <v>23</v>
      </c>
      <c r="J241">
        <v>0</v>
      </c>
      <c r="K241" t="s">
        <v>37</v>
      </c>
      <c r="L241">
        <v>9</v>
      </c>
      <c r="M241">
        <v>0</v>
      </c>
      <c r="N241" t="s">
        <v>276</v>
      </c>
      <c r="O241" t="s">
        <v>64</v>
      </c>
      <c r="P241" t="s">
        <v>139</v>
      </c>
      <c r="Q241" t="s">
        <v>272</v>
      </c>
      <c r="U241" t="str">
        <f t="shared" si="9"/>
        <v>Batting First Won</v>
      </c>
      <c r="X241" t="str">
        <f t="shared" si="10"/>
        <v>Yes</v>
      </c>
      <c r="AA241" t="str">
        <f t="shared" si="11"/>
        <v>2011</v>
      </c>
    </row>
    <row r="242" spans="1:27" x14ac:dyDescent="0.35">
      <c r="A242">
        <v>241</v>
      </c>
      <c r="B242" t="s">
        <v>366</v>
      </c>
      <c r="C242" t="s">
        <v>158</v>
      </c>
      <c r="D242" s="1">
        <v>40881</v>
      </c>
      <c r="E242" t="s">
        <v>49</v>
      </c>
      <c r="F242" t="s">
        <v>146</v>
      </c>
      <c r="G242" t="s">
        <v>49</v>
      </c>
      <c r="H242" t="s">
        <v>50</v>
      </c>
      <c r="I242" t="s">
        <v>23</v>
      </c>
      <c r="J242">
        <v>0</v>
      </c>
      <c r="K242" t="s">
        <v>146</v>
      </c>
      <c r="L242">
        <v>0</v>
      </c>
      <c r="M242">
        <v>6</v>
      </c>
      <c r="N242" t="s">
        <v>287</v>
      </c>
      <c r="O242" t="s">
        <v>161</v>
      </c>
      <c r="P242" t="s">
        <v>148</v>
      </c>
      <c r="Q242" t="s">
        <v>162</v>
      </c>
      <c r="U242" t="str">
        <f t="shared" si="9"/>
        <v>Chasing Won</v>
      </c>
      <c r="X242" t="str">
        <f t="shared" si="10"/>
        <v>No</v>
      </c>
      <c r="AA242" t="str">
        <f t="shared" si="11"/>
        <v>2011</v>
      </c>
    </row>
    <row r="243" spans="1:27" x14ac:dyDescent="0.35">
      <c r="A243">
        <v>242</v>
      </c>
      <c r="B243" t="s">
        <v>366</v>
      </c>
      <c r="C243" t="s">
        <v>48</v>
      </c>
      <c r="D243" s="1">
        <v>40881</v>
      </c>
      <c r="E243" t="s">
        <v>21</v>
      </c>
      <c r="F243" t="s">
        <v>29</v>
      </c>
      <c r="G243" t="s">
        <v>29</v>
      </c>
      <c r="H243" t="s">
        <v>22</v>
      </c>
      <c r="I243" t="s">
        <v>23</v>
      </c>
      <c r="J243">
        <v>0</v>
      </c>
      <c r="K243" t="s">
        <v>29</v>
      </c>
      <c r="L243">
        <v>0</v>
      </c>
      <c r="M243">
        <v>9</v>
      </c>
      <c r="N243" t="s">
        <v>233</v>
      </c>
      <c r="O243" t="s">
        <v>52</v>
      </c>
      <c r="P243" t="s">
        <v>256</v>
      </c>
      <c r="Q243" t="s">
        <v>375</v>
      </c>
      <c r="U243" t="str">
        <f t="shared" si="9"/>
        <v>Chasing Won</v>
      </c>
      <c r="X243" t="str">
        <f t="shared" si="10"/>
        <v>Yes</v>
      </c>
      <c r="AA243" t="str">
        <f t="shared" si="11"/>
        <v>2011</v>
      </c>
    </row>
    <row r="244" spans="1:27" x14ac:dyDescent="0.35">
      <c r="A244">
        <v>243</v>
      </c>
      <c r="B244" t="s">
        <v>366</v>
      </c>
      <c r="C244" t="s">
        <v>101</v>
      </c>
      <c r="D244" t="s">
        <v>376</v>
      </c>
      <c r="E244" t="s">
        <v>141</v>
      </c>
      <c r="F244" t="s">
        <v>43</v>
      </c>
      <c r="G244" t="s">
        <v>43</v>
      </c>
      <c r="H244" t="s">
        <v>22</v>
      </c>
      <c r="I244" t="s">
        <v>23</v>
      </c>
      <c r="J244">
        <v>0</v>
      </c>
      <c r="K244" t="s">
        <v>43</v>
      </c>
      <c r="L244">
        <v>0</v>
      </c>
      <c r="M244">
        <v>6</v>
      </c>
      <c r="N244" t="s">
        <v>377</v>
      </c>
      <c r="O244" t="s">
        <v>143</v>
      </c>
      <c r="P244" t="s">
        <v>138</v>
      </c>
      <c r="Q244" t="s">
        <v>145</v>
      </c>
      <c r="U244" t="str">
        <f t="shared" si="9"/>
        <v>Chasing Won</v>
      </c>
      <c r="X244" t="str">
        <f t="shared" si="10"/>
        <v>Yes</v>
      </c>
      <c r="AA244" t="str">
        <f t="shared" si="11"/>
        <v>2011</v>
      </c>
    </row>
    <row r="245" spans="1:27" x14ac:dyDescent="0.35">
      <c r="A245">
        <v>244</v>
      </c>
      <c r="B245" t="s">
        <v>366</v>
      </c>
      <c r="C245" t="s">
        <v>55</v>
      </c>
      <c r="D245" t="s">
        <v>376</v>
      </c>
      <c r="E245" t="s">
        <v>371</v>
      </c>
      <c r="F245" t="s">
        <v>373</v>
      </c>
      <c r="G245" t="s">
        <v>371</v>
      </c>
      <c r="H245" t="s">
        <v>50</v>
      </c>
      <c r="I245" t="s">
        <v>23</v>
      </c>
      <c r="J245">
        <v>0</v>
      </c>
      <c r="K245" t="s">
        <v>373</v>
      </c>
      <c r="L245">
        <v>0</v>
      </c>
      <c r="M245">
        <v>4</v>
      </c>
      <c r="N245" t="s">
        <v>378</v>
      </c>
      <c r="O245" t="s">
        <v>180</v>
      </c>
      <c r="P245" t="s">
        <v>259</v>
      </c>
      <c r="Q245" t="s">
        <v>368</v>
      </c>
      <c r="U245" t="str">
        <f t="shared" si="9"/>
        <v>Chasing Won</v>
      </c>
      <c r="X245" t="str">
        <f t="shared" si="10"/>
        <v>No</v>
      </c>
      <c r="AA245" t="str">
        <f t="shared" si="11"/>
        <v>2011</v>
      </c>
    </row>
    <row r="246" spans="1:27" x14ac:dyDescent="0.35">
      <c r="A246">
        <v>245</v>
      </c>
      <c r="B246" t="s">
        <v>366</v>
      </c>
      <c r="C246" t="s">
        <v>19</v>
      </c>
      <c r="D246" t="s">
        <v>379</v>
      </c>
      <c r="E246" t="s">
        <v>154</v>
      </c>
      <c r="F246" t="s">
        <v>21</v>
      </c>
      <c r="G246" t="s">
        <v>21</v>
      </c>
      <c r="H246" t="s">
        <v>22</v>
      </c>
      <c r="I246" t="s">
        <v>23</v>
      </c>
      <c r="J246">
        <v>0</v>
      </c>
      <c r="K246" t="s">
        <v>154</v>
      </c>
      <c r="L246">
        <v>33</v>
      </c>
      <c r="M246">
        <v>0</v>
      </c>
      <c r="N246" t="s">
        <v>380</v>
      </c>
      <c r="O246" t="s">
        <v>25</v>
      </c>
      <c r="P246" t="s">
        <v>139</v>
      </c>
      <c r="Q246" t="s">
        <v>34</v>
      </c>
      <c r="U246" t="str">
        <f t="shared" si="9"/>
        <v>Batting First Won</v>
      </c>
      <c r="X246" t="str">
        <f t="shared" si="10"/>
        <v>No</v>
      </c>
      <c r="AA246" t="str">
        <f t="shared" si="11"/>
        <v>2011</v>
      </c>
    </row>
    <row r="247" spans="1:27" x14ac:dyDescent="0.35">
      <c r="A247">
        <v>246</v>
      </c>
      <c r="B247" t="s">
        <v>366</v>
      </c>
      <c r="C247" t="s">
        <v>158</v>
      </c>
      <c r="D247" t="s">
        <v>381</v>
      </c>
      <c r="E247" t="s">
        <v>146</v>
      </c>
      <c r="F247" t="s">
        <v>37</v>
      </c>
      <c r="G247" t="s">
        <v>37</v>
      </c>
      <c r="H247" t="s">
        <v>22</v>
      </c>
      <c r="I247" t="s">
        <v>23</v>
      </c>
      <c r="J247">
        <v>0</v>
      </c>
      <c r="K247" t="s">
        <v>37</v>
      </c>
      <c r="L247">
        <v>0</v>
      </c>
      <c r="M247">
        <v>9</v>
      </c>
      <c r="N247" t="s">
        <v>100</v>
      </c>
      <c r="O247" t="s">
        <v>161</v>
      </c>
      <c r="P247" t="s">
        <v>148</v>
      </c>
      <c r="Q247" t="s">
        <v>277</v>
      </c>
      <c r="U247" t="str">
        <f t="shared" si="9"/>
        <v>Chasing Won</v>
      </c>
      <c r="X247" t="str">
        <f t="shared" si="10"/>
        <v>Yes</v>
      </c>
      <c r="AA247" t="str">
        <f t="shared" si="11"/>
        <v>2011</v>
      </c>
    </row>
    <row r="248" spans="1:27" x14ac:dyDescent="0.35">
      <c r="A248">
        <v>247</v>
      </c>
      <c r="B248" t="s">
        <v>366</v>
      </c>
      <c r="C248" t="s">
        <v>55</v>
      </c>
      <c r="D248" t="s">
        <v>381</v>
      </c>
      <c r="E248" t="s">
        <v>29</v>
      </c>
      <c r="F248" t="s">
        <v>371</v>
      </c>
      <c r="G248" t="s">
        <v>371</v>
      </c>
      <c r="H248" t="s">
        <v>22</v>
      </c>
      <c r="I248" t="s">
        <v>23</v>
      </c>
      <c r="J248">
        <v>0</v>
      </c>
      <c r="K248" t="s">
        <v>371</v>
      </c>
      <c r="L248">
        <v>0</v>
      </c>
      <c r="M248">
        <v>8</v>
      </c>
      <c r="N248" t="s">
        <v>137</v>
      </c>
      <c r="O248" t="s">
        <v>57</v>
      </c>
      <c r="P248" t="s">
        <v>184</v>
      </c>
      <c r="Q248" t="s">
        <v>368</v>
      </c>
      <c r="U248" t="str">
        <f t="shared" si="9"/>
        <v>Chasing Won</v>
      </c>
      <c r="X248" t="str">
        <f t="shared" si="10"/>
        <v>Yes</v>
      </c>
      <c r="AA248" t="str">
        <f t="shared" si="11"/>
        <v>2011</v>
      </c>
    </row>
    <row r="249" spans="1:27" x14ac:dyDescent="0.35">
      <c r="A249">
        <v>248</v>
      </c>
      <c r="B249" t="s">
        <v>366</v>
      </c>
      <c r="C249" t="s">
        <v>167</v>
      </c>
      <c r="D249" t="s">
        <v>382</v>
      </c>
      <c r="E249" t="s">
        <v>141</v>
      </c>
      <c r="F249" t="s">
        <v>21</v>
      </c>
      <c r="G249" t="s">
        <v>141</v>
      </c>
      <c r="H249" t="s">
        <v>50</v>
      </c>
      <c r="I249" t="s">
        <v>23</v>
      </c>
      <c r="J249">
        <v>0</v>
      </c>
      <c r="K249" t="s">
        <v>141</v>
      </c>
      <c r="L249">
        <v>21</v>
      </c>
      <c r="M249">
        <v>0</v>
      </c>
      <c r="N249" t="s">
        <v>142</v>
      </c>
      <c r="O249" t="s">
        <v>170</v>
      </c>
      <c r="P249" t="s">
        <v>256</v>
      </c>
      <c r="Q249" t="s">
        <v>375</v>
      </c>
      <c r="U249" t="str">
        <f t="shared" si="9"/>
        <v>Batting First Won</v>
      </c>
      <c r="X249" t="str">
        <f t="shared" si="10"/>
        <v>Yes</v>
      </c>
      <c r="AA249" t="str">
        <f t="shared" si="11"/>
        <v>2011</v>
      </c>
    </row>
    <row r="250" spans="1:27" x14ac:dyDescent="0.35">
      <c r="A250">
        <v>249</v>
      </c>
      <c r="B250" t="s">
        <v>366</v>
      </c>
      <c r="C250" t="s">
        <v>19</v>
      </c>
      <c r="D250" t="s">
        <v>382</v>
      </c>
      <c r="E250" t="s">
        <v>154</v>
      </c>
      <c r="F250" t="s">
        <v>43</v>
      </c>
      <c r="G250" t="s">
        <v>43</v>
      </c>
      <c r="H250" t="s">
        <v>22</v>
      </c>
      <c r="I250" t="s">
        <v>23</v>
      </c>
      <c r="J250">
        <v>0</v>
      </c>
      <c r="K250" t="s">
        <v>43</v>
      </c>
      <c r="L250">
        <v>0</v>
      </c>
      <c r="M250">
        <v>8</v>
      </c>
      <c r="N250" t="s">
        <v>377</v>
      </c>
      <c r="O250" t="s">
        <v>25</v>
      </c>
      <c r="P250" t="s">
        <v>139</v>
      </c>
      <c r="Q250" t="s">
        <v>34</v>
      </c>
      <c r="U250" t="str">
        <f t="shared" si="9"/>
        <v>Chasing Won</v>
      </c>
      <c r="X250" t="str">
        <f t="shared" si="10"/>
        <v>Yes</v>
      </c>
      <c r="AA250" t="str">
        <f t="shared" si="11"/>
        <v>2011</v>
      </c>
    </row>
    <row r="251" spans="1:27" x14ac:dyDescent="0.35">
      <c r="A251">
        <v>250</v>
      </c>
      <c r="B251" t="s">
        <v>366</v>
      </c>
      <c r="C251" t="s">
        <v>55</v>
      </c>
      <c r="D251" t="s">
        <v>383</v>
      </c>
      <c r="E251" t="s">
        <v>373</v>
      </c>
      <c r="F251" t="s">
        <v>49</v>
      </c>
      <c r="G251" t="s">
        <v>49</v>
      </c>
      <c r="H251" t="s">
        <v>22</v>
      </c>
      <c r="I251" t="s">
        <v>23</v>
      </c>
      <c r="J251">
        <v>0</v>
      </c>
      <c r="K251" t="s">
        <v>49</v>
      </c>
      <c r="L251">
        <v>0</v>
      </c>
      <c r="M251">
        <v>3</v>
      </c>
      <c r="N251" t="s">
        <v>24</v>
      </c>
      <c r="O251" t="s">
        <v>180</v>
      </c>
      <c r="P251" t="s">
        <v>138</v>
      </c>
      <c r="Q251" t="s">
        <v>166</v>
      </c>
      <c r="U251" t="str">
        <f t="shared" si="9"/>
        <v>Chasing Won</v>
      </c>
      <c r="X251" t="str">
        <f t="shared" si="10"/>
        <v>Yes</v>
      </c>
      <c r="AA251" t="str">
        <f t="shared" si="11"/>
        <v>2011</v>
      </c>
    </row>
    <row r="252" spans="1:27" x14ac:dyDescent="0.35">
      <c r="A252">
        <v>251</v>
      </c>
      <c r="B252" t="s">
        <v>366</v>
      </c>
      <c r="C252" t="s">
        <v>61</v>
      </c>
      <c r="D252" t="s">
        <v>383</v>
      </c>
      <c r="E252" t="s">
        <v>146</v>
      </c>
      <c r="F252" t="s">
        <v>37</v>
      </c>
      <c r="G252" t="s">
        <v>37</v>
      </c>
      <c r="H252" t="s">
        <v>22</v>
      </c>
      <c r="I252" t="s">
        <v>23</v>
      </c>
      <c r="J252">
        <v>0</v>
      </c>
      <c r="K252" t="s">
        <v>37</v>
      </c>
      <c r="L252">
        <v>0</v>
      </c>
      <c r="M252">
        <v>8</v>
      </c>
      <c r="N252" t="s">
        <v>201</v>
      </c>
      <c r="O252" t="s">
        <v>64</v>
      </c>
      <c r="P252" t="s">
        <v>148</v>
      </c>
      <c r="Q252" t="s">
        <v>162</v>
      </c>
      <c r="U252" t="str">
        <f t="shared" si="9"/>
        <v>Chasing Won</v>
      </c>
      <c r="X252" t="str">
        <f t="shared" si="10"/>
        <v>Yes</v>
      </c>
      <c r="AA252" t="str">
        <f t="shared" si="11"/>
        <v>2011</v>
      </c>
    </row>
    <row r="253" spans="1:27" x14ac:dyDescent="0.35">
      <c r="A253">
        <v>252</v>
      </c>
      <c r="B253" t="s">
        <v>366</v>
      </c>
      <c r="C253" t="s">
        <v>370</v>
      </c>
      <c r="D253" t="s">
        <v>384</v>
      </c>
      <c r="E253" t="s">
        <v>141</v>
      </c>
      <c r="F253" t="s">
        <v>371</v>
      </c>
      <c r="G253" t="s">
        <v>371</v>
      </c>
      <c r="H253" t="s">
        <v>22</v>
      </c>
      <c r="I253" t="s">
        <v>23</v>
      </c>
      <c r="J253">
        <v>1</v>
      </c>
      <c r="K253" t="s">
        <v>371</v>
      </c>
      <c r="L253">
        <v>0</v>
      </c>
      <c r="M253">
        <v>7</v>
      </c>
      <c r="N253" t="s">
        <v>137</v>
      </c>
      <c r="O253" t="s">
        <v>372</v>
      </c>
      <c r="P253" t="s">
        <v>157</v>
      </c>
      <c r="Q253" t="s">
        <v>375</v>
      </c>
      <c r="U253" t="str">
        <f t="shared" si="9"/>
        <v>Chasing Won</v>
      </c>
      <c r="X253" t="str">
        <f t="shared" si="10"/>
        <v>Yes</v>
      </c>
      <c r="AA253" t="str">
        <f t="shared" si="11"/>
        <v>2011</v>
      </c>
    </row>
    <row r="254" spans="1:27" x14ac:dyDescent="0.35">
      <c r="A254">
        <v>253</v>
      </c>
      <c r="B254" t="s">
        <v>366</v>
      </c>
      <c r="C254" t="s">
        <v>71</v>
      </c>
      <c r="D254" t="s">
        <v>385</v>
      </c>
      <c r="E254" t="s">
        <v>154</v>
      </c>
      <c r="F254" t="s">
        <v>49</v>
      </c>
      <c r="G254" t="s">
        <v>154</v>
      </c>
      <c r="H254" t="s">
        <v>50</v>
      </c>
      <c r="I254" t="s">
        <v>23</v>
      </c>
      <c r="J254">
        <v>0</v>
      </c>
      <c r="K254" t="s">
        <v>154</v>
      </c>
      <c r="L254">
        <v>16</v>
      </c>
      <c r="M254">
        <v>0</v>
      </c>
      <c r="N254" t="s">
        <v>386</v>
      </c>
      <c r="O254" t="s">
        <v>73</v>
      </c>
      <c r="P254" t="s">
        <v>368</v>
      </c>
      <c r="Q254" t="s">
        <v>387</v>
      </c>
      <c r="U254" t="str">
        <f t="shared" si="9"/>
        <v>Batting First Won</v>
      </c>
      <c r="X254" t="str">
        <f t="shared" si="10"/>
        <v>Yes</v>
      </c>
      <c r="AA254" t="str">
        <f t="shared" si="11"/>
        <v>2011</v>
      </c>
    </row>
    <row r="255" spans="1:27" x14ac:dyDescent="0.35">
      <c r="A255">
        <v>254</v>
      </c>
      <c r="B255" t="s">
        <v>366</v>
      </c>
      <c r="C255" t="s">
        <v>55</v>
      </c>
      <c r="D255" t="s">
        <v>388</v>
      </c>
      <c r="E255" t="s">
        <v>373</v>
      </c>
      <c r="F255" t="s">
        <v>29</v>
      </c>
      <c r="G255" t="s">
        <v>373</v>
      </c>
      <c r="H255" t="s">
        <v>50</v>
      </c>
      <c r="I255" t="s">
        <v>23</v>
      </c>
      <c r="J255">
        <v>0</v>
      </c>
      <c r="K255" t="s">
        <v>29</v>
      </c>
      <c r="L255">
        <v>0</v>
      </c>
      <c r="M255">
        <v>7</v>
      </c>
      <c r="N255" t="s">
        <v>389</v>
      </c>
      <c r="O255" t="s">
        <v>57</v>
      </c>
      <c r="P255" t="s">
        <v>138</v>
      </c>
      <c r="Q255" t="s">
        <v>166</v>
      </c>
      <c r="U255" t="str">
        <f t="shared" si="9"/>
        <v>Chasing Won</v>
      </c>
      <c r="X255" t="str">
        <f t="shared" si="10"/>
        <v>No</v>
      </c>
      <c r="AA255" t="str">
        <f t="shared" si="11"/>
        <v>2011</v>
      </c>
    </row>
    <row r="256" spans="1:27" x14ac:dyDescent="0.35">
      <c r="A256">
        <v>255</v>
      </c>
      <c r="B256" t="s">
        <v>366</v>
      </c>
      <c r="C256" t="s">
        <v>61</v>
      </c>
      <c r="D256" t="s">
        <v>388</v>
      </c>
      <c r="E256" t="s">
        <v>371</v>
      </c>
      <c r="F256" t="s">
        <v>37</v>
      </c>
      <c r="G256" t="s">
        <v>37</v>
      </c>
      <c r="H256" t="s">
        <v>22</v>
      </c>
      <c r="I256" t="s">
        <v>23</v>
      </c>
      <c r="J256">
        <v>0</v>
      </c>
      <c r="K256" t="s">
        <v>371</v>
      </c>
      <c r="L256">
        <v>6</v>
      </c>
      <c r="M256">
        <v>0</v>
      </c>
      <c r="N256" t="s">
        <v>210</v>
      </c>
      <c r="O256" t="s">
        <v>64</v>
      </c>
      <c r="P256" t="s">
        <v>148</v>
      </c>
      <c r="Q256" t="s">
        <v>162</v>
      </c>
      <c r="U256" t="str">
        <f t="shared" si="9"/>
        <v>Batting First Won</v>
      </c>
      <c r="X256" t="str">
        <f t="shared" si="10"/>
        <v>No</v>
      </c>
      <c r="AA256" t="str">
        <f t="shared" si="11"/>
        <v>2011</v>
      </c>
    </row>
    <row r="257" spans="1:27" x14ac:dyDescent="0.35">
      <c r="A257">
        <v>256</v>
      </c>
      <c r="B257" t="s">
        <v>366</v>
      </c>
      <c r="C257" t="s">
        <v>101</v>
      </c>
      <c r="D257" t="s">
        <v>390</v>
      </c>
      <c r="E257" t="s">
        <v>43</v>
      </c>
      <c r="F257" t="s">
        <v>146</v>
      </c>
      <c r="G257" t="s">
        <v>146</v>
      </c>
      <c r="H257" t="s">
        <v>22</v>
      </c>
      <c r="I257" t="s">
        <v>23</v>
      </c>
      <c r="J257">
        <v>0</v>
      </c>
      <c r="K257" t="s">
        <v>43</v>
      </c>
      <c r="L257">
        <v>48</v>
      </c>
      <c r="M257">
        <v>0</v>
      </c>
      <c r="N257" t="s">
        <v>189</v>
      </c>
      <c r="O257" t="s">
        <v>143</v>
      </c>
      <c r="P257" t="s">
        <v>259</v>
      </c>
      <c r="Q257" t="s">
        <v>368</v>
      </c>
      <c r="U257" t="str">
        <f t="shared" si="9"/>
        <v>Batting First Won</v>
      </c>
      <c r="X257" t="str">
        <f t="shared" si="10"/>
        <v>No</v>
      </c>
      <c r="AA257" t="str">
        <f t="shared" si="11"/>
        <v>2011</v>
      </c>
    </row>
    <row r="258" spans="1:27" x14ac:dyDescent="0.35">
      <c r="A258">
        <v>257</v>
      </c>
      <c r="B258" t="s">
        <v>366</v>
      </c>
      <c r="C258" t="s">
        <v>55</v>
      </c>
      <c r="D258" t="s">
        <v>391</v>
      </c>
      <c r="E258" t="s">
        <v>29</v>
      </c>
      <c r="F258" t="s">
        <v>141</v>
      </c>
      <c r="G258" t="s">
        <v>141</v>
      </c>
      <c r="H258" t="s">
        <v>22</v>
      </c>
      <c r="I258" t="s">
        <v>23</v>
      </c>
      <c r="J258">
        <v>0</v>
      </c>
      <c r="K258" t="s">
        <v>29</v>
      </c>
      <c r="L258">
        <v>8</v>
      </c>
      <c r="M258">
        <v>0</v>
      </c>
      <c r="N258" t="s">
        <v>283</v>
      </c>
      <c r="O258" t="s">
        <v>57</v>
      </c>
      <c r="P258" t="s">
        <v>138</v>
      </c>
      <c r="Q258" t="s">
        <v>166</v>
      </c>
      <c r="U258" t="str">
        <f t="shared" si="9"/>
        <v>Batting First Won</v>
      </c>
      <c r="X258" t="str">
        <f t="shared" si="10"/>
        <v>No</v>
      </c>
      <c r="AA258" t="str">
        <f t="shared" si="11"/>
        <v>2011</v>
      </c>
    </row>
    <row r="259" spans="1:27" x14ac:dyDescent="0.35">
      <c r="A259">
        <v>258</v>
      </c>
      <c r="B259" t="s">
        <v>366</v>
      </c>
      <c r="C259" t="s">
        <v>61</v>
      </c>
      <c r="D259" t="s">
        <v>391</v>
      </c>
      <c r="E259" t="s">
        <v>37</v>
      </c>
      <c r="F259" t="s">
        <v>21</v>
      </c>
      <c r="G259" t="s">
        <v>21</v>
      </c>
      <c r="H259" t="s">
        <v>22</v>
      </c>
      <c r="I259" t="s">
        <v>23</v>
      </c>
      <c r="J259">
        <v>0</v>
      </c>
      <c r="K259" t="s">
        <v>21</v>
      </c>
      <c r="L259">
        <v>0</v>
      </c>
      <c r="M259">
        <v>9</v>
      </c>
      <c r="N259" t="s">
        <v>81</v>
      </c>
      <c r="O259" t="s">
        <v>64</v>
      </c>
      <c r="P259" t="s">
        <v>277</v>
      </c>
      <c r="Q259" t="s">
        <v>162</v>
      </c>
      <c r="U259" t="str">
        <f t="shared" ref="U259:U322" si="12">IF(L259&gt;0,"Batting First Won","Chasing Won")</f>
        <v>Chasing Won</v>
      </c>
      <c r="X259" t="str">
        <f t="shared" ref="X259:X322" si="13">IF(G259=K259,"Yes","No")</f>
        <v>Yes</v>
      </c>
      <c r="AA259" t="str">
        <f t="shared" ref="AA259:AA322" si="14">RIGHT(B259,4)</f>
        <v>2011</v>
      </c>
    </row>
    <row r="260" spans="1:27" x14ac:dyDescent="0.35">
      <c r="A260">
        <v>259</v>
      </c>
      <c r="B260" t="s">
        <v>366</v>
      </c>
      <c r="C260" t="s">
        <v>71</v>
      </c>
      <c r="D260" t="s">
        <v>392</v>
      </c>
      <c r="E260" t="s">
        <v>49</v>
      </c>
      <c r="F260" t="s">
        <v>43</v>
      </c>
      <c r="G260" t="s">
        <v>43</v>
      </c>
      <c r="H260" t="s">
        <v>22</v>
      </c>
      <c r="I260" t="s">
        <v>23</v>
      </c>
      <c r="J260">
        <v>0</v>
      </c>
      <c r="K260" t="s">
        <v>49</v>
      </c>
      <c r="L260">
        <v>29</v>
      </c>
      <c r="M260">
        <v>0</v>
      </c>
      <c r="N260" t="s">
        <v>109</v>
      </c>
      <c r="O260" t="s">
        <v>73</v>
      </c>
      <c r="P260" t="s">
        <v>259</v>
      </c>
      <c r="Q260" t="s">
        <v>139</v>
      </c>
      <c r="U260" t="str">
        <f t="shared" si="12"/>
        <v>Batting First Won</v>
      </c>
      <c r="X260" t="str">
        <f t="shared" si="13"/>
        <v>No</v>
      </c>
      <c r="AA260" t="str">
        <f t="shared" si="14"/>
        <v>2011</v>
      </c>
    </row>
    <row r="261" spans="1:27" x14ac:dyDescent="0.35">
      <c r="A261">
        <v>260</v>
      </c>
      <c r="B261" t="s">
        <v>366</v>
      </c>
      <c r="C261" t="s">
        <v>19</v>
      </c>
      <c r="D261" t="s">
        <v>393</v>
      </c>
      <c r="E261" t="s">
        <v>29</v>
      </c>
      <c r="F261" t="s">
        <v>154</v>
      </c>
      <c r="G261" t="s">
        <v>154</v>
      </c>
      <c r="H261" t="s">
        <v>22</v>
      </c>
      <c r="I261" t="s">
        <v>23</v>
      </c>
      <c r="J261">
        <v>0</v>
      </c>
      <c r="K261" t="s">
        <v>29</v>
      </c>
      <c r="L261">
        <v>37</v>
      </c>
      <c r="M261">
        <v>0</v>
      </c>
      <c r="N261" t="s">
        <v>337</v>
      </c>
      <c r="O261" t="s">
        <v>25</v>
      </c>
      <c r="P261" t="s">
        <v>256</v>
      </c>
      <c r="Q261" t="s">
        <v>375</v>
      </c>
      <c r="U261" t="str">
        <f t="shared" si="12"/>
        <v>Batting First Won</v>
      </c>
      <c r="X261" t="str">
        <f t="shared" si="13"/>
        <v>No</v>
      </c>
      <c r="AA261" t="str">
        <f t="shared" si="14"/>
        <v>2011</v>
      </c>
    </row>
    <row r="262" spans="1:27" x14ac:dyDescent="0.35">
      <c r="A262">
        <v>261</v>
      </c>
      <c r="B262" t="s">
        <v>366</v>
      </c>
      <c r="C262" t="s">
        <v>158</v>
      </c>
      <c r="D262" t="s">
        <v>393</v>
      </c>
      <c r="E262" t="s">
        <v>371</v>
      </c>
      <c r="F262" t="s">
        <v>146</v>
      </c>
      <c r="G262" t="s">
        <v>146</v>
      </c>
      <c r="H262" t="s">
        <v>22</v>
      </c>
      <c r="I262" t="s">
        <v>23</v>
      </c>
      <c r="J262">
        <v>0</v>
      </c>
      <c r="K262" t="s">
        <v>146</v>
      </c>
      <c r="L262">
        <v>0</v>
      </c>
      <c r="M262">
        <v>8</v>
      </c>
      <c r="N262" t="s">
        <v>287</v>
      </c>
      <c r="O262" t="s">
        <v>161</v>
      </c>
      <c r="P262" t="s">
        <v>184</v>
      </c>
      <c r="Q262" t="s">
        <v>272</v>
      </c>
      <c r="U262" t="str">
        <f t="shared" si="12"/>
        <v>Chasing Won</v>
      </c>
      <c r="X262" t="str">
        <f t="shared" si="13"/>
        <v>Yes</v>
      </c>
      <c r="AA262" t="str">
        <f t="shared" si="14"/>
        <v>2011</v>
      </c>
    </row>
    <row r="263" spans="1:27" x14ac:dyDescent="0.35">
      <c r="A263">
        <v>262</v>
      </c>
      <c r="B263" t="s">
        <v>366</v>
      </c>
      <c r="C263" t="s">
        <v>167</v>
      </c>
      <c r="D263" t="s">
        <v>394</v>
      </c>
      <c r="E263" t="s">
        <v>141</v>
      </c>
      <c r="F263" t="s">
        <v>373</v>
      </c>
      <c r="G263" t="s">
        <v>373</v>
      </c>
      <c r="H263" t="s">
        <v>22</v>
      </c>
      <c r="I263" t="s">
        <v>23</v>
      </c>
      <c r="J263">
        <v>0</v>
      </c>
      <c r="K263" t="s">
        <v>141</v>
      </c>
      <c r="L263">
        <v>25</v>
      </c>
      <c r="M263">
        <v>0</v>
      </c>
      <c r="N263" t="s">
        <v>142</v>
      </c>
      <c r="O263" t="s">
        <v>170</v>
      </c>
      <c r="P263" t="s">
        <v>148</v>
      </c>
      <c r="Q263" t="s">
        <v>162</v>
      </c>
      <c r="U263" t="str">
        <f t="shared" si="12"/>
        <v>Batting First Won</v>
      </c>
      <c r="X263" t="str">
        <f t="shared" si="13"/>
        <v>No</v>
      </c>
      <c r="AA263" t="str">
        <f t="shared" si="14"/>
        <v>2011</v>
      </c>
    </row>
    <row r="264" spans="1:27" x14ac:dyDescent="0.35">
      <c r="A264">
        <v>263</v>
      </c>
      <c r="B264" t="s">
        <v>366</v>
      </c>
      <c r="C264" t="s">
        <v>71</v>
      </c>
      <c r="D264" t="s">
        <v>395</v>
      </c>
      <c r="E264" t="s">
        <v>49</v>
      </c>
      <c r="F264" t="s">
        <v>21</v>
      </c>
      <c r="G264" t="s">
        <v>21</v>
      </c>
      <c r="H264" t="s">
        <v>22</v>
      </c>
      <c r="I264" t="s">
        <v>23</v>
      </c>
      <c r="J264">
        <v>0</v>
      </c>
      <c r="K264" t="s">
        <v>21</v>
      </c>
      <c r="L264">
        <v>0</v>
      </c>
      <c r="M264">
        <v>3</v>
      </c>
      <c r="N264" t="s">
        <v>396</v>
      </c>
      <c r="O264" t="s">
        <v>73</v>
      </c>
      <c r="P264" t="s">
        <v>259</v>
      </c>
      <c r="Q264" t="s">
        <v>387</v>
      </c>
      <c r="U264" t="str">
        <f t="shared" si="12"/>
        <v>Chasing Won</v>
      </c>
      <c r="X264" t="str">
        <f t="shared" si="13"/>
        <v>Yes</v>
      </c>
      <c r="AA264" t="str">
        <f t="shared" si="14"/>
        <v>2011</v>
      </c>
    </row>
    <row r="265" spans="1:27" x14ac:dyDescent="0.35">
      <c r="A265">
        <v>264</v>
      </c>
      <c r="B265" t="s">
        <v>366</v>
      </c>
      <c r="C265" t="s">
        <v>55</v>
      </c>
      <c r="D265" t="s">
        <v>397</v>
      </c>
      <c r="E265" t="s">
        <v>373</v>
      </c>
      <c r="F265" t="s">
        <v>141</v>
      </c>
      <c r="G265" t="s">
        <v>373</v>
      </c>
      <c r="H265" t="s">
        <v>50</v>
      </c>
      <c r="I265" t="s">
        <v>23</v>
      </c>
      <c r="J265">
        <v>0</v>
      </c>
      <c r="K265" t="s">
        <v>141</v>
      </c>
      <c r="L265">
        <v>0</v>
      </c>
      <c r="M265">
        <v>8</v>
      </c>
      <c r="N265" t="s">
        <v>363</v>
      </c>
      <c r="O265" t="s">
        <v>180</v>
      </c>
      <c r="P265" t="s">
        <v>138</v>
      </c>
      <c r="Q265" t="s">
        <v>145</v>
      </c>
      <c r="U265" t="str">
        <f t="shared" si="12"/>
        <v>Chasing Won</v>
      </c>
      <c r="X265" t="str">
        <f t="shared" si="13"/>
        <v>No</v>
      </c>
      <c r="AA265" t="str">
        <f t="shared" si="14"/>
        <v>2011</v>
      </c>
    </row>
    <row r="266" spans="1:27" x14ac:dyDescent="0.35">
      <c r="A266">
        <v>265</v>
      </c>
      <c r="B266" t="s">
        <v>366</v>
      </c>
      <c r="C266" t="s">
        <v>370</v>
      </c>
      <c r="D266" t="s">
        <v>397</v>
      </c>
      <c r="E266" t="s">
        <v>154</v>
      </c>
      <c r="F266" t="s">
        <v>371</v>
      </c>
      <c r="G266" t="s">
        <v>371</v>
      </c>
      <c r="H266" t="s">
        <v>22</v>
      </c>
      <c r="I266" t="s">
        <v>23</v>
      </c>
      <c r="J266">
        <v>0</v>
      </c>
      <c r="K266" t="s">
        <v>154</v>
      </c>
      <c r="L266">
        <v>55</v>
      </c>
      <c r="M266">
        <v>0</v>
      </c>
      <c r="N266" t="s">
        <v>398</v>
      </c>
      <c r="O266" t="s">
        <v>372</v>
      </c>
      <c r="P266" t="s">
        <v>256</v>
      </c>
      <c r="Q266" t="s">
        <v>375</v>
      </c>
      <c r="U266" t="str">
        <f t="shared" si="12"/>
        <v>Batting First Won</v>
      </c>
      <c r="X266" t="str">
        <f t="shared" si="13"/>
        <v>No</v>
      </c>
      <c r="AA266" t="str">
        <f t="shared" si="14"/>
        <v>2011</v>
      </c>
    </row>
    <row r="267" spans="1:27" x14ac:dyDescent="0.35">
      <c r="A267">
        <v>266</v>
      </c>
      <c r="B267" t="s">
        <v>366</v>
      </c>
      <c r="C267" t="s">
        <v>71</v>
      </c>
      <c r="D267" t="s">
        <v>399</v>
      </c>
      <c r="E267" t="s">
        <v>37</v>
      </c>
      <c r="F267" t="s">
        <v>49</v>
      </c>
      <c r="G267" t="s">
        <v>49</v>
      </c>
      <c r="H267" t="s">
        <v>22</v>
      </c>
      <c r="I267" t="s">
        <v>23</v>
      </c>
      <c r="J267">
        <v>0</v>
      </c>
      <c r="K267" t="s">
        <v>37</v>
      </c>
      <c r="L267">
        <v>17</v>
      </c>
      <c r="M267">
        <v>0</v>
      </c>
      <c r="N267" t="s">
        <v>309</v>
      </c>
      <c r="O267" t="s">
        <v>73</v>
      </c>
      <c r="P267" t="s">
        <v>368</v>
      </c>
      <c r="Q267" t="s">
        <v>387</v>
      </c>
      <c r="U267" t="str">
        <f t="shared" si="12"/>
        <v>Batting First Won</v>
      </c>
      <c r="X267" t="str">
        <f t="shared" si="13"/>
        <v>No</v>
      </c>
      <c r="AA267" t="str">
        <f t="shared" si="14"/>
        <v>2011</v>
      </c>
    </row>
    <row r="268" spans="1:27" x14ac:dyDescent="0.35">
      <c r="A268">
        <v>267</v>
      </c>
      <c r="B268" t="s">
        <v>366</v>
      </c>
      <c r="C268" t="s">
        <v>158</v>
      </c>
      <c r="D268" t="s">
        <v>400</v>
      </c>
      <c r="E268" t="s">
        <v>29</v>
      </c>
      <c r="F268" t="s">
        <v>146</v>
      </c>
      <c r="G268" t="s">
        <v>146</v>
      </c>
      <c r="H268" t="s">
        <v>22</v>
      </c>
      <c r="I268" t="s">
        <v>23</v>
      </c>
      <c r="J268">
        <v>0</v>
      </c>
      <c r="K268" t="s">
        <v>146</v>
      </c>
      <c r="L268">
        <v>0</v>
      </c>
      <c r="M268">
        <v>7</v>
      </c>
      <c r="N268" t="s">
        <v>401</v>
      </c>
      <c r="O268" t="s">
        <v>161</v>
      </c>
      <c r="P268" t="s">
        <v>138</v>
      </c>
      <c r="Q268" t="s">
        <v>272</v>
      </c>
      <c r="U268" t="str">
        <f t="shared" si="12"/>
        <v>Chasing Won</v>
      </c>
      <c r="X268" t="str">
        <f t="shared" si="13"/>
        <v>Yes</v>
      </c>
      <c r="AA268" t="str">
        <f t="shared" si="14"/>
        <v>2011</v>
      </c>
    </row>
    <row r="269" spans="1:27" x14ac:dyDescent="0.35">
      <c r="A269">
        <v>268</v>
      </c>
      <c r="B269" t="s">
        <v>366</v>
      </c>
      <c r="C269" t="s">
        <v>48</v>
      </c>
      <c r="D269" t="s">
        <v>400</v>
      </c>
      <c r="E269" t="s">
        <v>21</v>
      </c>
      <c r="F269" t="s">
        <v>373</v>
      </c>
      <c r="G269" t="s">
        <v>373</v>
      </c>
      <c r="H269" t="s">
        <v>22</v>
      </c>
      <c r="I269" t="s">
        <v>23</v>
      </c>
      <c r="J269">
        <v>0</v>
      </c>
      <c r="K269" t="s">
        <v>21</v>
      </c>
      <c r="L269">
        <v>26</v>
      </c>
      <c r="M269">
        <v>0</v>
      </c>
      <c r="N269" t="s">
        <v>396</v>
      </c>
      <c r="O269" t="s">
        <v>52</v>
      </c>
      <c r="P269" t="s">
        <v>148</v>
      </c>
      <c r="Q269" t="s">
        <v>277</v>
      </c>
      <c r="U269" t="str">
        <f t="shared" si="12"/>
        <v>Batting First Won</v>
      </c>
      <c r="X269" t="str">
        <f t="shared" si="13"/>
        <v>No</v>
      </c>
      <c r="AA269" t="str">
        <f t="shared" si="14"/>
        <v>2011</v>
      </c>
    </row>
    <row r="270" spans="1:27" x14ac:dyDescent="0.35">
      <c r="A270">
        <v>269</v>
      </c>
      <c r="B270" t="s">
        <v>366</v>
      </c>
      <c r="C270" t="s">
        <v>370</v>
      </c>
      <c r="D270" t="s">
        <v>402</v>
      </c>
      <c r="E270" t="s">
        <v>49</v>
      </c>
      <c r="F270" t="s">
        <v>371</v>
      </c>
      <c r="G270" t="s">
        <v>49</v>
      </c>
      <c r="H270" t="s">
        <v>50</v>
      </c>
      <c r="I270" t="s">
        <v>23</v>
      </c>
      <c r="J270">
        <v>0</v>
      </c>
      <c r="K270" t="s">
        <v>49</v>
      </c>
      <c r="L270">
        <v>38</v>
      </c>
      <c r="M270">
        <v>0</v>
      </c>
      <c r="N270" t="s">
        <v>164</v>
      </c>
      <c r="O270" t="s">
        <v>372</v>
      </c>
      <c r="P270" t="s">
        <v>256</v>
      </c>
      <c r="Q270" t="s">
        <v>375</v>
      </c>
      <c r="U270" t="str">
        <f t="shared" si="12"/>
        <v>Batting First Won</v>
      </c>
      <c r="X270" t="str">
        <f t="shared" si="13"/>
        <v>Yes</v>
      </c>
      <c r="AA270" t="str">
        <f t="shared" si="14"/>
        <v>2011</v>
      </c>
    </row>
    <row r="271" spans="1:27" x14ac:dyDescent="0.35">
      <c r="A271">
        <v>270</v>
      </c>
      <c r="B271" t="s">
        <v>366</v>
      </c>
      <c r="C271" t="s">
        <v>61</v>
      </c>
      <c r="D271" t="s">
        <v>402</v>
      </c>
      <c r="E271" t="s">
        <v>43</v>
      </c>
      <c r="F271" t="s">
        <v>37</v>
      </c>
      <c r="G271" t="s">
        <v>37</v>
      </c>
      <c r="H271" t="s">
        <v>22</v>
      </c>
      <c r="I271" t="s">
        <v>23</v>
      </c>
      <c r="J271">
        <v>0</v>
      </c>
      <c r="K271" t="s">
        <v>37</v>
      </c>
      <c r="L271">
        <v>0</v>
      </c>
      <c r="M271">
        <v>8</v>
      </c>
      <c r="N271" t="s">
        <v>403</v>
      </c>
      <c r="O271" t="s">
        <v>64</v>
      </c>
      <c r="P271" t="s">
        <v>166</v>
      </c>
      <c r="Q271" t="s">
        <v>145</v>
      </c>
      <c r="U271" t="str">
        <f t="shared" si="12"/>
        <v>Chasing Won</v>
      </c>
      <c r="X271" t="str">
        <f t="shared" si="13"/>
        <v>Yes</v>
      </c>
      <c r="AA271" t="str">
        <f t="shared" si="14"/>
        <v>2011</v>
      </c>
    </row>
    <row r="272" spans="1:27" x14ac:dyDescent="0.35">
      <c r="A272">
        <v>271</v>
      </c>
      <c r="B272" t="s">
        <v>366</v>
      </c>
      <c r="C272" t="s">
        <v>158</v>
      </c>
      <c r="D272" s="1">
        <v>40548</v>
      </c>
      <c r="E272" t="s">
        <v>373</v>
      </c>
      <c r="F272" t="s">
        <v>146</v>
      </c>
      <c r="G272" t="s">
        <v>146</v>
      </c>
      <c r="H272" t="s">
        <v>22</v>
      </c>
      <c r="I272" t="s">
        <v>23</v>
      </c>
      <c r="J272">
        <v>0</v>
      </c>
      <c r="K272" t="s">
        <v>146</v>
      </c>
      <c r="L272">
        <v>0</v>
      </c>
      <c r="M272">
        <v>6</v>
      </c>
      <c r="N272" t="s">
        <v>282</v>
      </c>
      <c r="O272" t="s">
        <v>161</v>
      </c>
      <c r="P272" t="s">
        <v>272</v>
      </c>
      <c r="Q272" t="s">
        <v>244</v>
      </c>
      <c r="U272" t="str">
        <f t="shared" si="12"/>
        <v>Chasing Won</v>
      </c>
      <c r="X272" t="str">
        <f t="shared" si="13"/>
        <v>Yes</v>
      </c>
      <c r="AA272" t="str">
        <f t="shared" si="14"/>
        <v>2011</v>
      </c>
    </row>
    <row r="273" spans="1:27" x14ac:dyDescent="0.35">
      <c r="A273">
        <v>272</v>
      </c>
      <c r="B273" t="s">
        <v>366</v>
      </c>
      <c r="C273" t="s">
        <v>167</v>
      </c>
      <c r="D273" s="1">
        <v>40548</v>
      </c>
      <c r="E273" t="s">
        <v>141</v>
      </c>
      <c r="F273" t="s">
        <v>154</v>
      </c>
      <c r="G273" t="s">
        <v>141</v>
      </c>
      <c r="H273" t="s">
        <v>50</v>
      </c>
      <c r="I273" t="s">
        <v>23</v>
      </c>
      <c r="J273">
        <v>0</v>
      </c>
      <c r="K273" t="s">
        <v>141</v>
      </c>
      <c r="L273">
        <v>19</v>
      </c>
      <c r="M273">
        <v>0</v>
      </c>
      <c r="N273" t="s">
        <v>223</v>
      </c>
      <c r="O273" t="s">
        <v>170</v>
      </c>
      <c r="P273" t="s">
        <v>148</v>
      </c>
      <c r="Q273" t="s">
        <v>162</v>
      </c>
      <c r="U273" t="str">
        <f t="shared" si="12"/>
        <v>Batting First Won</v>
      </c>
      <c r="X273" t="str">
        <f t="shared" si="13"/>
        <v>Yes</v>
      </c>
      <c r="AA273" t="str">
        <f t="shared" si="14"/>
        <v>2011</v>
      </c>
    </row>
    <row r="274" spans="1:27" x14ac:dyDescent="0.35">
      <c r="A274">
        <v>273</v>
      </c>
      <c r="B274" t="s">
        <v>366</v>
      </c>
      <c r="C274" t="s">
        <v>55</v>
      </c>
      <c r="D274" s="1">
        <v>40579</v>
      </c>
      <c r="E274" t="s">
        <v>29</v>
      </c>
      <c r="F274" t="s">
        <v>43</v>
      </c>
      <c r="G274" t="s">
        <v>43</v>
      </c>
      <c r="H274" t="s">
        <v>22</v>
      </c>
      <c r="I274" t="s">
        <v>23</v>
      </c>
      <c r="J274">
        <v>0</v>
      </c>
      <c r="K274" t="s">
        <v>29</v>
      </c>
      <c r="L274">
        <v>23</v>
      </c>
      <c r="M274">
        <v>0</v>
      </c>
      <c r="N274" t="s">
        <v>66</v>
      </c>
      <c r="O274" t="s">
        <v>57</v>
      </c>
      <c r="P274" t="s">
        <v>256</v>
      </c>
      <c r="Q274" t="s">
        <v>368</v>
      </c>
      <c r="U274" t="str">
        <f t="shared" si="12"/>
        <v>Batting First Won</v>
      </c>
      <c r="X274" t="str">
        <f t="shared" si="13"/>
        <v>No</v>
      </c>
      <c r="AA274" t="str">
        <f t="shared" si="14"/>
        <v>2011</v>
      </c>
    </row>
    <row r="275" spans="1:27" x14ac:dyDescent="0.35">
      <c r="A275">
        <v>274</v>
      </c>
      <c r="B275" t="s">
        <v>366</v>
      </c>
      <c r="C275" t="s">
        <v>71</v>
      </c>
      <c r="D275" s="1">
        <v>40579</v>
      </c>
      <c r="E275" t="s">
        <v>49</v>
      </c>
      <c r="F275" t="s">
        <v>371</v>
      </c>
      <c r="G275" t="s">
        <v>371</v>
      </c>
      <c r="H275" t="s">
        <v>22</v>
      </c>
      <c r="I275" t="s">
        <v>23</v>
      </c>
      <c r="J275">
        <v>0</v>
      </c>
      <c r="K275" t="s">
        <v>371</v>
      </c>
      <c r="L275">
        <v>0</v>
      </c>
      <c r="M275">
        <v>7</v>
      </c>
      <c r="N275" t="s">
        <v>404</v>
      </c>
      <c r="O275" t="s">
        <v>73</v>
      </c>
      <c r="P275" t="s">
        <v>138</v>
      </c>
      <c r="Q275" t="s">
        <v>145</v>
      </c>
      <c r="U275" t="str">
        <f t="shared" si="12"/>
        <v>Chasing Won</v>
      </c>
      <c r="X275" t="str">
        <f t="shared" si="13"/>
        <v>Yes</v>
      </c>
      <c r="AA275" t="str">
        <f t="shared" si="14"/>
        <v>2011</v>
      </c>
    </row>
    <row r="276" spans="1:27" x14ac:dyDescent="0.35">
      <c r="A276">
        <v>275</v>
      </c>
      <c r="B276" t="s">
        <v>366</v>
      </c>
      <c r="C276" t="s">
        <v>19</v>
      </c>
      <c r="D276" s="1">
        <v>40607</v>
      </c>
      <c r="E276" t="s">
        <v>37</v>
      </c>
      <c r="F276" t="s">
        <v>154</v>
      </c>
      <c r="G276" t="s">
        <v>154</v>
      </c>
      <c r="H276" t="s">
        <v>22</v>
      </c>
      <c r="I276" t="s">
        <v>23</v>
      </c>
      <c r="J276">
        <v>0</v>
      </c>
      <c r="K276" t="s">
        <v>37</v>
      </c>
      <c r="L276">
        <v>20</v>
      </c>
      <c r="M276">
        <v>0</v>
      </c>
      <c r="N276" t="s">
        <v>172</v>
      </c>
      <c r="O276" t="s">
        <v>25</v>
      </c>
      <c r="P276" t="s">
        <v>259</v>
      </c>
      <c r="Q276" t="s">
        <v>387</v>
      </c>
      <c r="U276" t="str">
        <f t="shared" si="12"/>
        <v>Batting First Won</v>
      </c>
      <c r="X276" t="str">
        <f t="shared" si="13"/>
        <v>No</v>
      </c>
      <c r="AA276" t="str">
        <f t="shared" si="14"/>
        <v>2011</v>
      </c>
    </row>
    <row r="277" spans="1:27" x14ac:dyDescent="0.35">
      <c r="A277">
        <v>276</v>
      </c>
      <c r="B277" t="s">
        <v>366</v>
      </c>
      <c r="C277" t="s">
        <v>167</v>
      </c>
      <c r="D277" s="1">
        <v>40638</v>
      </c>
      <c r="E277" t="s">
        <v>146</v>
      </c>
      <c r="F277" t="s">
        <v>141</v>
      </c>
      <c r="G277" t="s">
        <v>146</v>
      </c>
      <c r="H277" t="s">
        <v>50</v>
      </c>
      <c r="I277" t="s">
        <v>23</v>
      </c>
      <c r="J277">
        <v>0</v>
      </c>
      <c r="K277" t="s">
        <v>141</v>
      </c>
      <c r="L277">
        <v>0</v>
      </c>
      <c r="M277">
        <v>8</v>
      </c>
      <c r="N277" t="s">
        <v>142</v>
      </c>
      <c r="O277" t="s">
        <v>170</v>
      </c>
      <c r="P277" t="s">
        <v>277</v>
      </c>
      <c r="Q277" t="s">
        <v>162</v>
      </c>
      <c r="U277" t="str">
        <f t="shared" si="12"/>
        <v>Chasing Won</v>
      </c>
      <c r="X277" t="str">
        <f t="shared" si="13"/>
        <v>No</v>
      </c>
      <c r="AA277" t="str">
        <f t="shared" si="14"/>
        <v>2011</v>
      </c>
    </row>
    <row r="278" spans="1:27" x14ac:dyDescent="0.35">
      <c r="A278">
        <v>277</v>
      </c>
      <c r="B278" t="s">
        <v>366</v>
      </c>
      <c r="C278" t="s">
        <v>55</v>
      </c>
      <c r="D278" s="1">
        <v>40638</v>
      </c>
      <c r="E278" t="s">
        <v>29</v>
      </c>
      <c r="F278" t="s">
        <v>373</v>
      </c>
      <c r="G278" t="s">
        <v>373</v>
      </c>
      <c r="H278" t="s">
        <v>22</v>
      </c>
      <c r="I278" t="s">
        <v>23</v>
      </c>
      <c r="J278">
        <v>0</v>
      </c>
      <c r="K278" t="s">
        <v>29</v>
      </c>
      <c r="L278">
        <v>21</v>
      </c>
      <c r="M278">
        <v>0</v>
      </c>
      <c r="N278" t="s">
        <v>405</v>
      </c>
      <c r="O278" t="s">
        <v>180</v>
      </c>
      <c r="P278" t="s">
        <v>256</v>
      </c>
      <c r="Q278" t="s">
        <v>244</v>
      </c>
      <c r="U278" t="str">
        <f t="shared" si="12"/>
        <v>Batting First Won</v>
      </c>
      <c r="X278" t="str">
        <f t="shared" si="13"/>
        <v>No</v>
      </c>
      <c r="AA278" t="str">
        <f t="shared" si="14"/>
        <v>2011</v>
      </c>
    </row>
    <row r="279" spans="1:27" x14ac:dyDescent="0.35">
      <c r="A279">
        <v>278</v>
      </c>
      <c r="B279" t="s">
        <v>366</v>
      </c>
      <c r="C279" t="s">
        <v>370</v>
      </c>
      <c r="D279" s="1">
        <v>40668</v>
      </c>
      <c r="E279" t="s">
        <v>371</v>
      </c>
      <c r="F279" t="s">
        <v>37</v>
      </c>
      <c r="G279" t="s">
        <v>37</v>
      </c>
      <c r="H279" t="s">
        <v>22</v>
      </c>
      <c r="I279" t="s">
        <v>23</v>
      </c>
      <c r="J279">
        <v>0</v>
      </c>
      <c r="K279" t="s">
        <v>371</v>
      </c>
      <c r="L279">
        <v>17</v>
      </c>
      <c r="M279">
        <v>0</v>
      </c>
      <c r="N279" t="s">
        <v>295</v>
      </c>
      <c r="O279" t="s">
        <v>372</v>
      </c>
      <c r="P279" t="s">
        <v>34</v>
      </c>
      <c r="Q279" t="s">
        <v>387</v>
      </c>
      <c r="U279" t="str">
        <f t="shared" si="12"/>
        <v>Batting First Won</v>
      </c>
      <c r="X279" t="str">
        <f t="shared" si="13"/>
        <v>No</v>
      </c>
      <c r="AA279" t="str">
        <f t="shared" si="14"/>
        <v>2011</v>
      </c>
    </row>
    <row r="280" spans="1:27" x14ac:dyDescent="0.35">
      <c r="A280">
        <v>279</v>
      </c>
      <c r="B280" t="s">
        <v>366</v>
      </c>
      <c r="C280" t="s">
        <v>19</v>
      </c>
      <c r="D280" s="1">
        <v>40668</v>
      </c>
      <c r="E280" t="s">
        <v>154</v>
      </c>
      <c r="F280" t="s">
        <v>49</v>
      </c>
      <c r="G280" t="s">
        <v>49</v>
      </c>
      <c r="H280" t="s">
        <v>22</v>
      </c>
      <c r="I280" t="s">
        <v>23</v>
      </c>
      <c r="J280">
        <v>0</v>
      </c>
      <c r="K280" t="s">
        <v>49</v>
      </c>
      <c r="L280">
        <v>0</v>
      </c>
      <c r="M280">
        <v>4</v>
      </c>
      <c r="N280" t="s">
        <v>164</v>
      </c>
      <c r="O280" t="s">
        <v>25</v>
      </c>
      <c r="P280" t="s">
        <v>138</v>
      </c>
      <c r="Q280" t="s">
        <v>166</v>
      </c>
      <c r="U280" t="str">
        <f t="shared" si="12"/>
        <v>Chasing Won</v>
      </c>
      <c r="X280" t="str">
        <f t="shared" si="13"/>
        <v>Yes</v>
      </c>
      <c r="AA280" t="str">
        <f t="shared" si="14"/>
        <v>2011</v>
      </c>
    </row>
    <row r="281" spans="1:27" x14ac:dyDescent="0.35">
      <c r="A281">
        <v>280</v>
      </c>
      <c r="B281" t="s">
        <v>366</v>
      </c>
      <c r="C281" t="s">
        <v>48</v>
      </c>
      <c r="D281" s="1">
        <v>40699</v>
      </c>
      <c r="E281" t="s">
        <v>21</v>
      </c>
      <c r="F281" t="s">
        <v>43</v>
      </c>
      <c r="G281" t="s">
        <v>43</v>
      </c>
      <c r="H281" t="s">
        <v>22</v>
      </c>
      <c r="I281" t="s">
        <v>23</v>
      </c>
      <c r="J281">
        <v>0</v>
      </c>
      <c r="K281" t="s">
        <v>21</v>
      </c>
      <c r="L281">
        <v>85</v>
      </c>
      <c r="M281">
        <v>0</v>
      </c>
      <c r="N281" t="s">
        <v>81</v>
      </c>
      <c r="O281" t="s">
        <v>52</v>
      </c>
      <c r="P281" t="s">
        <v>148</v>
      </c>
      <c r="Q281" t="s">
        <v>162</v>
      </c>
      <c r="U281" t="str">
        <f t="shared" si="12"/>
        <v>Batting First Won</v>
      </c>
      <c r="X281" t="str">
        <f t="shared" si="13"/>
        <v>No</v>
      </c>
      <c r="AA281" t="str">
        <f t="shared" si="14"/>
        <v>2011</v>
      </c>
    </row>
    <row r="282" spans="1:27" x14ac:dyDescent="0.35">
      <c r="A282">
        <v>281</v>
      </c>
      <c r="B282" t="s">
        <v>366</v>
      </c>
      <c r="C282" t="s">
        <v>61</v>
      </c>
      <c r="D282" s="1">
        <v>40729</v>
      </c>
      <c r="E282" t="s">
        <v>141</v>
      </c>
      <c r="F282" t="s">
        <v>37</v>
      </c>
      <c r="G282" t="s">
        <v>141</v>
      </c>
      <c r="H282" t="s">
        <v>50</v>
      </c>
      <c r="I282" t="s">
        <v>23</v>
      </c>
      <c r="J282">
        <v>1</v>
      </c>
      <c r="K282" t="s">
        <v>37</v>
      </c>
      <c r="L282">
        <v>10</v>
      </c>
      <c r="M282">
        <v>0</v>
      </c>
      <c r="N282" t="s">
        <v>403</v>
      </c>
      <c r="O282" t="s">
        <v>64</v>
      </c>
      <c r="P282" t="s">
        <v>138</v>
      </c>
      <c r="Q282" t="s">
        <v>368</v>
      </c>
      <c r="U282" t="str">
        <f t="shared" si="12"/>
        <v>Batting First Won</v>
      </c>
      <c r="X282" t="str">
        <f t="shared" si="13"/>
        <v>No</v>
      </c>
      <c r="AA282" t="str">
        <f t="shared" si="14"/>
        <v>2011</v>
      </c>
    </row>
    <row r="283" spans="1:27" x14ac:dyDescent="0.35">
      <c r="A283">
        <v>282</v>
      </c>
      <c r="B283" t="s">
        <v>366</v>
      </c>
      <c r="C283" t="s">
        <v>55</v>
      </c>
      <c r="D283" s="1">
        <v>40729</v>
      </c>
      <c r="E283" t="s">
        <v>29</v>
      </c>
      <c r="F283" t="s">
        <v>49</v>
      </c>
      <c r="G283" t="s">
        <v>49</v>
      </c>
      <c r="H283" t="s">
        <v>22</v>
      </c>
      <c r="I283" t="s">
        <v>23</v>
      </c>
      <c r="J283">
        <v>0</v>
      </c>
      <c r="K283" t="s">
        <v>29</v>
      </c>
      <c r="L283">
        <v>32</v>
      </c>
      <c r="M283">
        <v>0</v>
      </c>
      <c r="N283" t="s">
        <v>126</v>
      </c>
      <c r="O283" t="s">
        <v>57</v>
      </c>
      <c r="P283" t="s">
        <v>157</v>
      </c>
      <c r="Q283" t="s">
        <v>244</v>
      </c>
      <c r="U283" t="str">
        <f t="shared" si="12"/>
        <v>Batting First Won</v>
      </c>
      <c r="X283" t="str">
        <f t="shared" si="13"/>
        <v>No</v>
      </c>
      <c r="AA283" t="str">
        <f t="shared" si="14"/>
        <v>2011</v>
      </c>
    </row>
    <row r="284" spans="1:27" x14ac:dyDescent="0.35">
      <c r="A284">
        <v>283</v>
      </c>
      <c r="B284" t="s">
        <v>366</v>
      </c>
      <c r="C284" t="s">
        <v>48</v>
      </c>
      <c r="D284" s="1">
        <v>40760</v>
      </c>
      <c r="E284" t="s">
        <v>371</v>
      </c>
      <c r="F284" t="s">
        <v>21</v>
      </c>
      <c r="G284" t="s">
        <v>371</v>
      </c>
      <c r="H284" t="s">
        <v>50</v>
      </c>
      <c r="I284" t="s">
        <v>23</v>
      </c>
      <c r="J284">
        <v>0</v>
      </c>
      <c r="K284" t="s">
        <v>21</v>
      </c>
      <c r="L284">
        <v>0</v>
      </c>
      <c r="M284">
        <v>9</v>
      </c>
      <c r="N284" t="s">
        <v>81</v>
      </c>
      <c r="O284" t="s">
        <v>52</v>
      </c>
      <c r="P284" t="s">
        <v>148</v>
      </c>
      <c r="Q284" t="s">
        <v>277</v>
      </c>
      <c r="U284" t="str">
        <f t="shared" si="12"/>
        <v>Chasing Won</v>
      </c>
      <c r="X284" t="str">
        <f t="shared" si="13"/>
        <v>No</v>
      </c>
      <c r="AA284" t="str">
        <f t="shared" si="14"/>
        <v>2011</v>
      </c>
    </row>
    <row r="285" spans="1:27" x14ac:dyDescent="0.35">
      <c r="A285">
        <v>284</v>
      </c>
      <c r="B285" t="s">
        <v>366</v>
      </c>
      <c r="C285" t="s">
        <v>101</v>
      </c>
      <c r="D285" s="1">
        <v>40760</v>
      </c>
      <c r="E285" t="s">
        <v>43</v>
      </c>
      <c r="F285" t="s">
        <v>373</v>
      </c>
      <c r="G285" t="s">
        <v>43</v>
      </c>
      <c r="H285" t="s">
        <v>50</v>
      </c>
      <c r="I285" t="s">
        <v>23</v>
      </c>
      <c r="J285">
        <v>0</v>
      </c>
      <c r="K285" t="s">
        <v>373</v>
      </c>
      <c r="L285">
        <v>0</v>
      </c>
      <c r="M285">
        <v>5</v>
      </c>
      <c r="N285" t="s">
        <v>405</v>
      </c>
      <c r="O285" t="s">
        <v>143</v>
      </c>
      <c r="P285" t="s">
        <v>272</v>
      </c>
      <c r="Q285" t="s">
        <v>387</v>
      </c>
      <c r="U285" t="str">
        <f t="shared" si="12"/>
        <v>Chasing Won</v>
      </c>
      <c r="X285" t="str">
        <f t="shared" si="13"/>
        <v>No</v>
      </c>
      <c r="AA285" t="str">
        <f t="shared" si="14"/>
        <v>2011</v>
      </c>
    </row>
    <row r="286" spans="1:27" x14ac:dyDescent="0.35">
      <c r="A286">
        <v>285</v>
      </c>
      <c r="B286" t="s">
        <v>366</v>
      </c>
      <c r="C286" t="s">
        <v>158</v>
      </c>
      <c r="D286" s="1">
        <v>40791</v>
      </c>
      <c r="E286" t="s">
        <v>141</v>
      </c>
      <c r="F286" t="s">
        <v>146</v>
      </c>
      <c r="G286" t="s">
        <v>146</v>
      </c>
      <c r="H286" t="s">
        <v>22</v>
      </c>
      <c r="I286" t="s">
        <v>23</v>
      </c>
      <c r="J286">
        <v>0</v>
      </c>
      <c r="K286" t="s">
        <v>141</v>
      </c>
      <c r="L286">
        <v>63</v>
      </c>
      <c r="M286">
        <v>0</v>
      </c>
      <c r="N286" t="s">
        <v>339</v>
      </c>
      <c r="O286" t="s">
        <v>161</v>
      </c>
      <c r="P286" t="s">
        <v>157</v>
      </c>
      <c r="Q286" t="s">
        <v>244</v>
      </c>
      <c r="U286" t="str">
        <f t="shared" si="12"/>
        <v>Batting First Won</v>
      </c>
      <c r="X286" t="str">
        <f t="shared" si="13"/>
        <v>No</v>
      </c>
      <c r="AA286" t="str">
        <f t="shared" si="14"/>
        <v>2011</v>
      </c>
    </row>
    <row r="287" spans="1:27" x14ac:dyDescent="0.35">
      <c r="A287">
        <v>286</v>
      </c>
      <c r="B287" t="s">
        <v>366</v>
      </c>
      <c r="C287" t="s">
        <v>19</v>
      </c>
      <c r="D287" s="1">
        <v>40821</v>
      </c>
      <c r="E287" t="s">
        <v>154</v>
      </c>
      <c r="F287" t="s">
        <v>373</v>
      </c>
      <c r="G287" t="s">
        <v>154</v>
      </c>
      <c r="H287" t="s">
        <v>50</v>
      </c>
      <c r="I287" t="s">
        <v>23</v>
      </c>
      <c r="J287">
        <v>0</v>
      </c>
      <c r="K287" t="s">
        <v>373</v>
      </c>
      <c r="L287">
        <v>0</v>
      </c>
      <c r="M287">
        <v>6</v>
      </c>
      <c r="N287" t="s">
        <v>406</v>
      </c>
      <c r="O287" t="s">
        <v>25</v>
      </c>
      <c r="P287" t="s">
        <v>138</v>
      </c>
      <c r="Q287" t="s">
        <v>166</v>
      </c>
      <c r="U287" t="str">
        <f t="shared" si="12"/>
        <v>Chasing Won</v>
      </c>
      <c r="X287" t="str">
        <f t="shared" si="13"/>
        <v>No</v>
      </c>
      <c r="AA287" t="str">
        <f t="shared" si="14"/>
        <v>2011</v>
      </c>
    </row>
    <row r="288" spans="1:27" x14ac:dyDescent="0.35">
      <c r="A288">
        <v>287</v>
      </c>
      <c r="B288" t="s">
        <v>366</v>
      </c>
      <c r="C288" t="s">
        <v>101</v>
      </c>
      <c r="D288" s="1">
        <v>40821</v>
      </c>
      <c r="E288" t="s">
        <v>43</v>
      </c>
      <c r="F288" t="s">
        <v>29</v>
      </c>
      <c r="G288" t="s">
        <v>29</v>
      </c>
      <c r="H288" t="s">
        <v>22</v>
      </c>
      <c r="I288" t="s">
        <v>23</v>
      </c>
      <c r="J288">
        <v>0</v>
      </c>
      <c r="K288" t="s">
        <v>43</v>
      </c>
      <c r="L288">
        <v>76</v>
      </c>
      <c r="M288">
        <v>0</v>
      </c>
      <c r="N288" t="s">
        <v>407</v>
      </c>
      <c r="O288" t="s">
        <v>143</v>
      </c>
      <c r="P288" t="s">
        <v>272</v>
      </c>
      <c r="Q288" t="s">
        <v>387</v>
      </c>
      <c r="U288" t="str">
        <f t="shared" si="12"/>
        <v>Batting First Won</v>
      </c>
      <c r="X288" t="str">
        <f t="shared" si="13"/>
        <v>No</v>
      </c>
      <c r="AA288" t="str">
        <f t="shared" si="14"/>
        <v>2011</v>
      </c>
    </row>
    <row r="289" spans="1:27" x14ac:dyDescent="0.35">
      <c r="A289">
        <v>288</v>
      </c>
      <c r="B289" t="s">
        <v>366</v>
      </c>
      <c r="C289" t="s">
        <v>158</v>
      </c>
      <c r="D289" s="1">
        <v>40852</v>
      </c>
      <c r="E289" t="s">
        <v>146</v>
      </c>
      <c r="F289" t="s">
        <v>21</v>
      </c>
      <c r="G289" t="s">
        <v>21</v>
      </c>
      <c r="H289" t="s">
        <v>22</v>
      </c>
      <c r="I289" t="s">
        <v>23</v>
      </c>
      <c r="J289">
        <v>0</v>
      </c>
      <c r="K289" t="s">
        <v>21</v>
      </c>
      <c r="L289">
        <v>0</v>
      </c>
      <c r="M289">
        <v>9</v>
      </c>
      <c r="N289" t="s">
        <v>408</v>
      </c>
      <c r="O289" t="s">
        <v>161</v>
      </c>
      <c r="P289" t="s">
        <v>256</v>
      </c>
      <c r="Q289" t="s">
        <v>157</v>
      </c>
      <c r="U289" t="str">
        <f t="shared" si="12"/>
        <v>Chasing Won</v>
      </c>
      <c r="X289" t="str">
        <f t="shared" si="13"/>
        <v>Yes</v>
      </c>
      <c r="AA289" t="str">
        <f t="shared" si="14"/>
        <v>2011</v>
      </c>
    </row>
    <row r="290" spans="1:27" x14ac:dyDescent="0.35">
      <c r="A290">
        <v>289</v>
      </c>
      <c r="B290" t="s">
        <v>366</v>
      </c>
      <c r="C290" t="s">
        <v>167</v>
      </c>
      <c r="D290" s="1">
        <v>40882</v>
      </c>
      <c r="E290" t="s">
        <v>141</v>
      </c>
      <c r="F290" t="s">
        <v>49</v>
      </c>
      <c r="G290" t="s">
        <v>141</v>
      </c>
      <c r="H290" t="s">
        <v>50</v>
      </c>
      <c r="I290" t="s">
        <v>23</v>
      </c>
      <c r="J290">
        <v>0</v>
      </c>
      <c r="K290" t="s">
        <v>141</v>
      </c>
      <c r="L290">
        <v>18</v>
      </c>
      <c r="M290">
        <v>0</v>
      </c>
      <c r="N290" t="s">
        <v>93</v>
      </c>
      <c r="O290" t="s">
        <v>170</v>
      </c>
      <c r="P290" t="s">
        <v>166</v>
      </c>
      <c r="Q290" t="s">
        <v>145</v>
      </c>
      <c r="U290" t="str">
        <f t="shared" si="12"/>
        <v>Batting First Won</v>
      </c>
      <c r="X290" t="str">
        <f t="shared" si="13"/>
        <v>Yes</v>
      </c>
      <c r="AA290" t="str">
        <f t="shared" si="14"/>
        <v>2011</v>
      </c>
    </row>
    <row r="291" spans="1:27" x14ac:dyDescent="0.35">
      <c r="A291">
        <v>290</v>
      </c>
      <c r="B291" t="s">
        <v>366</v>
      </c>
      <c r="C291" t="s">
        <v>42</v>
      </c>
      <c r="D291" t="s">
        <v>409</v>
      </c>
      <c r="E291" t="s">
        <v>371</v>
      </c>
      <c r="F291" t="s">
        <v>43</v>
      </c>
      <c r="G291" t="s">
        <v>43</v>
      </c>
      <c r="H291" t="s">
        <v>22</v>
      </c>
      <c r="I291" t="s">
        <v>23</v>
      </c>
      <c r="J291">
        <v>0</v>
      </c>
      <c r="K291" t="s">
        <v>43</v>
      </c>
      <c r="L291">
        <v>0</v>
      </c>
      <c r="M291">
        <v>6</v>
      </c>
      <c r="N291" t="s">
        <v>222</v>
      </c>
      <c r="O291" t="s">
        <v>45</v>
      </c>
      <c r="P291" t="s">
        <v>259</v>
      </c>
      <c r="Q291" t="s">
        <v>387</v>
      </c>
      <c r="U291" t="str">
        <f t="shared" si="12"/>
        <v>Chasing Won</v>
      </c>
      <c r="X291" t="str">
        <f t="shared" si="13"/>
        <v>Yes</v>
      </c>
      <c r="AA291" t="str">
        <f t="shared" si="14"/>
        <v>2011</v>
      </c>
    </row>
    <row r="292" spans="1:27" x14ac:dyDescent="0.35">
      <c r="A292">
        <v>291</v>
      </c>
      <c r="B292" t="s">
        <v>366</v>
      </c>
      <c r="C292" t="s">
        <v>48</v>
      </c>
      <c r="D292" t="s">
        <v>410</v>
      </c>
      <c r="E292" t="s">
        <v>37</v>
      </c>
      <c r="F292" t="s">
        <v>21</v>
      </c>
      <c r="G292" t="s">
        <v>21</v>
      </c>
      <c r="H292" t="s">
        <v>22</v>
      </c>
      <c r="I292" t="s">
        <v>23</v>
      </c>
      <c r="J292">
        <v>1</v>
      </c>
      <c r="K292" t="s">
        <v>21</v>
      </c>
      <c r="L292">
        <v>0</v>
      </c>
      <c r="M292">
        <v>4</v>
      </c>
      <c r="N292" t="s">
        <v>81</v>
      </c>
      <c r="O292" t="s">
        <v>52</v>
      </c>
      <c r="P292" t="s">
        <v>139</v>
      </c>
      <c r="Q292" t="s">
        <v>162</v>
      </c>
      <c r="U292" t="str">
        <f t="shared" si="12"/>
        <v>Chasing Won</v>
      </c>
      <c r="X292" t="str">
        <f t="shared" si="13"/>
        <v>Yes</v>
      </c>
      <c r="AA292" t="str">
        <f t="shared" si="14"/>
        <v>2011</v>
      </c>
    </row>
    <row r="293" spans="1:27" x14ac:dyDescent="0.35">
      <c r="A293">
        <v>292</v>
      </c>
      <c r="B293" t="s">
        <v>366</v>
      </c>
      <c r="C293" t="s">
        <v>55</v>
      </c>
      <c r="D293" t="s">
        <v>410</v>
      </c>
      <c r="E293" t="s">
        <v>154</v>
      </c>
      <c r="F293" t="s">
        <v>29</v>
      </c>
      <c r="G293" t="s">
        <v>154</v>
      </c>
      <c r="H293" t="s">
        <v>50</v>
      </c>
      <c r="I293" t="s">
        <v>23</v>
      </c>
      <c r="J293">
        <v>0</v>
      </c>
      <c r="K293" t="s">
        <v>154</v>
      </c>
      <c r="L293">
        <v>10</v>
      </c>
      <c r="M293">
        <v>0</v>
      </c>
      <c r="N293" t="s">
        <v>207</v>
      </c>
      <c r="O293" t="s">
        <v>57</v>
      </c>
      <c r="P293" t="s">
        <v>34</v>
      </c>
      <c r="Q293" t="s">
        <v>272</v>
      </c>
      <c r="U293" t="str">
        <f t="shared" si="12"/>
        <v>Batting First Won</v>
      </c>
      <c r="X293" t="str">
        <f t="shared" si="13"/>
        <v>Yes</v>
      </c>
      <c r="AA293" t="str">
        <f t="shared" si="14"/>
        <v>2011</v>
      </c>
    </row>
    <row r="294" spans="1:27" x14ac:dyDescent="0.35">
      <c r="A294">
        <v>293</v>
      </c>
      <c r="B294" t="s">
        <v>366</v>
      </c>
      <c r="C294" t="s">
        <v>353</v>
      </c>
      <c r="D294" t="s">
        <v>411</v>
      </c>
      <c r="E294" t="s">
        <v>43</v>
      </c>
      <c r="F294" t="s">
        <v>49</v>
      </c>
      <c r="G294" t="s">
        <v>49</v>
      </c>
      <c r="H294" t="s">
        <v>22</v>
      </c>
      <c r="I294" t="s">
        <v>23</v>
      </c>
      <c r="J294">
        <v>0</v>
      </c>
      <c r="K294" t="s">
        <v>43</v>
      </c>
      <c r="L294">
        <v>29</v>
      </c>
      <c r="M294">
        <v>0</v>
      </c>
      <c r="N294" t="s">
        <v>347</v>
      </c>
      <c r="O294" t="s">
        <v>355</v>
      </c>
      <c r="P294" t="s">
        <v>138</v>
      </c>
      <c r="Q294" t="s">
        <v>145</v>
      </c>
      <c r="U294" t="str">
        <f t="shared" si="12"/>
        <v>Batting First Won</v>
      </c>
      <c r="X294" t="str">
        <f t="shared" si="13"/>
        <v>No</v>
      </c>
      <c r="AA294" t="str">
        <f t="shared" si="14"/>
        <v>2011</v>
      </c>
    </row>
    <row r="295" spans="1:27" x14ac:dyDescent="0.35">
      <c r="A295">
        <v>294</v>
      </c>
      <c r="B295" t="s">
        <v>366</v>
      </c>
      <c r="C295" t="s">
        <v>42</v>
      </c>
      <c r="D295" t="s">
        <v>411</v>
      </c>
      <c r="E295" t="s">
        <v>146</v>
      </c>
      <c r="F295" t="s">
        <v>371</v>
      </c>
      <c r="G295" t="s">
        <v>371</v>
      </c>
      <c r="H295" t="s">
        <v>22</v>
      </c>
      <c r="I295" t="s">
        <v>23</v>
      </c>
      <c r="J295">
        <v>0</v>
      </c>
      <c r="K295" t="s">
        <v>371</v>
      </c>
      <c r="L295">
        <v>0</v>
      </c>
      <c r="M295">
        <v>8</v>
      </c>
      <c r="N295" t="s">
        <v>295</v>
      </c>
      <c r="O295" t="s">
        <v>45</v>
      </c>
      <c r="P295" t="s">
        <v>368</v>
      </c>
      <c r="Q295" t="s">
        <v>387</v>
      </c>
      <c r="U295" t="str">
        <f t="shared" si="12"/>
        <v>Chasing Won</v>
      </c>
      <c r="X295" t="str">
        <f t="shared" si="13"/>
        <v>Yes</v>
      </c>
      <c r="AA295" t="str">
        <f t="shared" si="14"/>
        <v>2011</v>
      </c>
    </row>
    <row r="296" spans="1:27" x14ac:dyDescent="0.35">
      <c r="A296">
        <v>295</v>
      </c>
      <c r="B296" t="s">
        <v>366</v>
      </c>
      <c r="C296" t="s">
        <v>55</v>
      </c>
      <c r="D296" t="s">
        <v>412</v>
      </c>
      <c r="E296" t="s">
        <v>373</v>
      </c>
      <c r="F296" t="s">
        <v>154</v>
      </c>
      <c r="G296" t="s">
        <v>154</v>
      </c>
      <c r="H296" t="s">
        <v>22</v>
      </c>
      <c r="I296" t="s">
        <v>23</v>
      </c>
      <c r="J296">
        <v>0</v>
      </c>
      <c r="K296" t="s">
        <v>154</v>
      </c>
      <c r="L296">
        <v>0</v>
      </c>
      <c r="M296">
        <v>6</v>
      </c>
      <c r="N296" t="s">
        <v>207</v>
      </c>
      <c r="O296" t="s">
        <v>180</v>
      </c>
      <c r="P296" t="s">
        <v>34</v>
      </c>
      <c r="Q296" t="s">
        <v>272</v>
      </c>
      <c r="U296" t="str">
        <f t="shared" si="12"/>
        <v>Chasing Won</v>
      </c>
      <c r="X296" t="str">
        <f t="shared" si="13"/>
        <v>Yes</v>
      </c>
      <c r="AA296" t="str">
        <f t="shared" si="14"/>
        <v>2011</v>
      </c>
    </row>
    <row r="297" spans="1:27" x14ac:dyDescent="0.35">
      <c r="A297">
        <v>296</v>
      </c>
      <c r="B297" t="s">
        <v>366</v>
      </c>
      <c r="C297" t="s">
        <v>353</v>
      </c>
      <c r="D297" t="s">
        <v>413</v>
      </c>
      <c r="E297" t="s">
        <v>43</v>
      </c>
      <c r="F297" t="s">
        <v>21</v>
      </c>
      <c r="G297" t="s">
        <v>43</v>
      </c>
      <c r="H297" t="s">
        <v>50</v>
      </c>
      <c r="I297" t="s">
        <v>23</v>
      </c>
      <c r="J297">
        <v>0</v>
      </c>
      <c r="K297" t="s">
        <v>43</v>
      </c>
      <c r="L297">
        <v>111</v>
      </c>
      <c r="M297">
        <v>0</v>
      </c>
      <c r="N297" t="s">
        <v>179</v>
      </c>
      <c r="O297" t="s">
        <v>355</v>
      </c>
      <c r="P297" t="s">
        <v>138</v>
      </c>
      <c r="Q297" t="s">
        <v>166</v>
      </c>
      <c r="U297" t="str">
        <f t="shared" si="12"/>
        <v>Batting First Won</v>
      </c>
      <c r="X297" t="str">
        <f t="shared" si="13"/>
        <v>Yes</v>
      </c>
      <c r="AA297" t="str">
        <f t="shared" si="14"/>
        <v>2011</v>
      </c>
    </row>
    <row r="298" spans="1:27" x14ac:dyDescent="0.35">
      <c r="A298">
        <v>297</v>
      </c>
      <c r="B298" t="s">
        <v>366</v>
      </c>
      <c r="C298" t="s">
        <v>167</v>
      </c>
      <c r="D298" t="s">
        <v>414</v>
      </c>
      <c r="E298" t="s">
        <v>141</v>
      </c>
      <c r="F298" t="s">
        <v>371</v>
      </c>
      <c r="G298" t="s">
        <v>141</v>
      </c>
      <c r="H298" t="s">
        <v>50</v>
      </c>
      <c r="I298" t="s">
        <v>23</v>
      </c>
      <c r="J298">
        <v>0</v>
      </c>
      <c r="K298" t="s">
        <v>141</v>
      </c>
      <c r="L298">
        <v>11</v>
      </c>
      <c r="M298">
        <v>0</v>
      </c>
      <c r="N298" t="s">
        <v>122</v>
      </c>
      <c r="O298" t="s">
        <v>170</v>
      </c>
      <c r="P298" t="s">
        <v>256</v>
      </c>
      <c r="Q298" t="s">
        <v>139</v>
      </c>
      <c r="U298" t="str">
        <f t="shared" si="12"/>
        <v>Batting First Won</v>
      </c>
      <c r="X298" t="str">
        <f t="shared" si="13"/>
        <v>Yes</v>
      </c>
      <c r="AA298" t="str">
        <f t="shared" si="14"/>
        <v>2011</v>
      </c>
    </row>
    <row r="299" spans="1:27" x14ac:dyDescent="0.35">
      <c r="A299">
        <v>298</v>
      </c>
      <c r="B299" t="s">
        <v>366</v>
      </c>
      <c r="C299" t="s">
        <v>55</v>
      </c>
      <c r="D299" t="s">
        <v>415</v>
      </c>
      <c r="E299" t="s">
        <v>373</v>
      </c>
      <c r="F299" t="s">
        <v>37</v>
      </c>
      <c r="G299" t="s">
        <v>37</v>
      </c>
      <c r="H299" t="s">
        <v>22</v>
      </c>
      <c r="I299" t="s">
        <v>23</v>
      </c>
      <c r="J299">
        <v>0</v>
      </c>
      <c r="K299" t="s">
        <v>37</v>
      </c>
      <c r="L299">
        <v>0</v>
      </c>
      <c r="M299">
        <v>7</v>
      </c>
      <c r="N299" t="s">
        <v>172</v>
      </c>
      <c r="O299" t="s">
        <v>180</v>
      </c>
      <c r="P299" t="s">
        <v>34</v>
      </c>
      <c r="Q299" t="s">
        <v>244</v>
      </c>
      <c r="U299" t="str">
        <f t="shared" si="12"/>
        <v>Chasing Won</v>
      </c>
      <c r="X299" t="str">
        <f t="shared" si="13"/>
        <v>Yes</v>
      </c>
      <c r="AA299" t="str">
        <f t="shared" si="14"/>
        <v>2011</v>
      </c>
    </row>
    <row r="300" spans="1:27" x14ac:dyDescent="0.35">
      <c r="A300">
        <v>299</v>
      </c>
      <c r="B300" t="s">
        <v>366</v>
      </c>
      <c r="C300" t="s">
        <v>55</v>
      </c>
      <c r="D300" t="s">
        <v>416</v>
      </c>
      <c r="E300" t="s">
        <v>29</v>
      </c>
      <c r="F300" t="s">
        <v>146</v>
      </c>
      <c r="G300" t="s">
        <v>29</v>
      </c>
      <c r="H300" t="s">
        <v>50</v>
      </c>
      <c r="I300" t="s">
        <v>23</v>
      </c>
      <c r="J300">
        <v>0</v>
      </c>
      <c r="K300" t="s">
        <v>146</v>
      </c>
      <c r="L300">
        <v>0</v>
      </c>
      <c r="M300">
        <v>10</v>
      </c>
      <c r="N300" t="s">
        <v>160</v>
      </c>
      <c r="O300" t="s">
        <v>57</v>
      </c>
      <c r="P300" t="s">
        <v>139</v>
      </c>
      <c r="Q300" t="s">
        <v>368</v>
      </c>
      <c r="U300" t="str">
        <f t="shared" si="12"/>
        <v>Chasing Won</v>
      </c>
      <c r="X300" t="str">
        <f t="shared" si="13"/>
        <v>No</v>
      </c>
      <c r="AA300" t="str">
        <f t="shared" si="14"/>
        <v>2011</v>
      </c>
    </row>
    <row r="301" spans="1:27" x14ac:dyDescent="0.35">
      <c r="A301">
        <v>300</v>
      </c>
      <c r="B301" t="s">
        <v>366</v>
      </c>
      <c r="C301" t="s">
        <v>353</v>
      </c>
      <c r="D301" t="s">
        <v>417</v>
      </c>
      <c r="E301" t="s">
        <v>154</v>
      </c>
      <c r="F301" t="s">
        <v>43</v>
      </c>
      <c r="G301" t="s">
        <v>43</v>
      </c>
      <c r="H301" t="s">
        <v>22</v>
      </c>
      <c r="I301" t="s">
        <v>23</v>
      </c>
      <c r="J301">
        <v>0</v>
      </c>
      <c r="K301" t="s">
        <v>154</v>
      </c>
      <c r="L301">
        <v>82</v>
      </c>
      <c r="M301">
        <v>0</v>
      </c>
      <c r="N301" t="s">
        <v>117</v>
      </c>
      <c r="O301" t="s">
        <v>355</v>
      </c>
      <c r="P301" t="s">
        <v>138</v>
      </c>
      <c r="Q301" t="s">
        <v>166</v>
      </c>
      <c r="U301" t="str">
        <f t="shared" si="12"/>
        <v>Batting First Won</v>
      </c>
      <c r="X301" t="str">
        <f t="shared" si="13"/>
        <v>No</v>
      </c>
      <c r="AA301" t="str">
        <f t="shared" si="14"/>
        <v>2011</v>
      </c>
    </row>
    <row r="302" spans="1:27" x14ac:dyDescent="0.35">
      <c r="A302">
        <v>301</v>
      </c>
      <c r="B302" t="s">
        <v>366</v>
      </c>
      <c r="C302" t="s">
        <v>71</v>
      </c>
      <c r="D302" t="s">
        <v>417</v>
      </c>
      <c r="E302" t="s">
        <v>49</v>
      </c>
      <c r="F302" t="s">
        <v>373</v>
      </c>
      <c r="G302" t="s">
        <v>49</v>
      </c>
      <c r="H302" t="s">
        <v>50</v>
      </c>
      <c r="I302" t="s">
        <v>418</v>
      </c>
      <c r="J302">
        <v>0</v>
      </c>
      <c r="L302">
        <v>0</v>
      </c>
      <c r="M302">
        <v>0</v>
      </c>
      <c r="O302" t="s">
        <v>73</v>
      </c>
      <c r="P302" t="s">
        <v>277</v>
      </c>
      <c r="Q302" t="s">
        <v>387</v>
      </c>
      <c r="U302" t="str">
        <f t="shared" si="12"/>
        <v>Chasing Won</v>
      </c>
      <c r="X302" t="str">
        <f t="shared" si="13"/>
        <v>No</v>
      </c>
      <c r="AA302" t="str">
        <f t="shared" si="14"/>
        <v>2011</v>
      </c>
    </row>
    <row r="303" spans="1:27" x14ac:dyDescent="0.35">
      <c r="A303">
        <v>302</v>
      </c>
      <c r="B303" t="s">
        <v>366</v>
      </c>
      <c r="C303" t="s">
        <v>48</v>
      </c>
      <c r="D303" t="s">
        <v>419</v>
      </c>
      <c r="E303" t="s">
        <v>141</v>
      </c>
      <c r="F303" t="s">
        <v>21</v>
      </c>
      <c r="G303" t="s">
        <v>21</v>
      </c>
      <c r="H303" t="s">
        <v>22</v>
      </c>
      <c r="I303" t="s">
        <v>23</v>
      </c>
      <c r="J303">
        <v>0</v>
      </c>
      <c r="K303" t="s">
        <v>21</v>
      </c>
      <c r="L303">
        <v>0</v>
      </c>
      <c r="M303">
        <v>8</v>
      </c>
      <c r="N303" t="s">
        <v>81</v>
      </c>
      <c r="O303" t="s">
        <v>52</v>
      </c>
      <c r="P303" t="s">
        <v>157</v>
      </c>
      <c r="Q303" t="s">
        <v>139</v>
      </c>
      <c r="U303" t="str">
        <f t="shared" si="12"/>
        <v>Chasing Won</v>
      </c>
      <c r="X303" t="str">
        <f t="shared" si="13"/>
        <v>Yes</v>
      </c>
      <c r="AA303" t="str">
        <f t="shared" si="14"/>
        <v>2011</v>
      </c>
    </row>
    <row r="304" spans="1:27" x14ac:dyDescent="0.35">
      <c r="A304">
        <v>303</v>
      </c>
      <c r="B304" t="s">
        <v>366</v>
      </c>
      <c r="C304" t="s">
        <v>61</v>
      </c>
      <c r="D304" t="s">
        <v>419</v>
      </c>
      <c r="E304" t="s">
        <v>37</v>
      </c>
      <c r="F304" t="s">
        <v>29</v>
      </c>
      <c r="G304" t="s">
        <v>29</v>
      </c>
      <c r="H304" t="s">
        <v>22</v>
      </c>
      <c r="I304" t="s">
        <v>23</v>
      </c>
      <c r="J304">
        <v>0</v>
      </c>
      <c r="K304" t="s">
        <v>29</v>
      </c>
      <c r="L304">
        <v>0</v>
      </c>
      <c r="M304">
        <v>5</v>
      </c>
      <c r="N304" t="s">
        <v>420</v>
      </c>
      <c r="O304" t="s">
        <v>64</v>
      </c>
      <c r="P304" t="s">
        <v>272</v>
      </c>
      <c r="Q304" t="s">
        <v>244</v>
      </c>
      <c r="U304" t="str">
        <f t="shared" si="12"/>
        <v>Chasing Won</v>
      </c>
      <c r="X304" t="str">
        <f t="shared" si="13"/>
        <v>Yes</v>
      </c>
      <c r="AA304" t="str">
        <f t="shared" si="14"/>
        <v>2011</v>
      </c>
    </row>
    <row r="305" spans="1:27" x14ac:dyDescent="0.35">
      <c r="A305">
        <v>304</v>
      </c>
      <c r="B305" t="s">
        <v>366</v>
      </c>
      <c r="C305" t="s">
        <v>55</v>
      </c>
      <c r="D305" t="s">
        <v>421</v>
      </c>
      <c r="E305" t="s">
        <v>21</v>
      </c>
      <c r="F305" t="s">
        <v>141</v>
      </c>
      <c r="G305" t="s">
        <v>141</v>
      </c>
      <c r="H305" t="s">
        <v>22</v>
      </c>
      <c r="I305" t="s">
        <v>23</v>
      </c>
      <c r="J305">
        <v>0</v>
      </c>
      <c r="K305" t="s">
        <v>141</v>
      </c>
      <c r="L305">
        <v>0</v>
      </c>
      <c r="M305">
        <v>6</v>
      </c>
      <c r="N305" t="s">
        <v>90</v>
      </c>
      <c r="O305" t="s">
        <v>57</v>
      </c>
      <c r="P305" t="s">
        <v>138</v>
      </c>
      <c r="Q305" t="s">
        <v>244</v>
      </c>
      <c r="U305" t="str">
        <f t="shared" si="12"/>
        <v>Chasing Won</v>
      </c>
      <c r="X305" t="str">
        <f t="shared" si="13"/>
        <v>Yes</v>
      </c>
      <c r="AA305" t="str">
        <f t="shared" si="14"/>
        <v>2011</v>
      </c>
    </row>
    <row r="306" spans="1:27" x14ac:dyDescent="0.35">
      <c r="A306">
        <v>305</v>
      </c>
      <c r="B306" t="s">
        <v>366</v>
      </c>
      <c r="C306" t="s">
        <v>55</v>
      </c>
      <c r="D306" t="s">
        <v>422</v>
      </c>
      <c r="E306" t="s">
        <v>37</v>
      </c>
      <c r="F306" t="s">
        <v>29</v>
      </c>
      <c r="G306" t="s">
        <v>29</v>
      </c>
      <c r="H306" t="s">
        <v>22</v>
      </c>
      <c r="I306" t="s">
        <v>23</v>
      </c>
      <c r="J306">
        <v>0</v>
      </c>
      <c r="K306" t="s">
        <v>29</v>
      </c>
      <c r="L306">
        <v>0</v>
      </c>
      <c r="M306">
        <v>4</v>
      </c>
      <c r="N306" t="s">
        <v>389</v>
      </c>
      <c r="O306" t="s">
        <v>57</v>
      </c>
      <c r="P306" t="s">
        <v>138</v>
      </c>
      <c r="Q306" t="s">
        <v>244</v>
      </c>
      <c r="U306" t="str">
        <f t="shared" si="12"/>
        <v>Chasing Won</v>
      </c>
      <c r="X306" t="str">
        <f t="shared" si="13"/>
        <v>Yes</v>
      </c>
      <c r="AA306" t="str">
        <f t="shared" si="14"/>
        <v>2011</v>
      </c>
    </row>
    <row r="307" spans="1:27" x14ac:dyDescent="0.35">
      <c r="A307">
        <v>306</v>
      </c>
      <c r="B307" t="s">
        <v>366</v>
      </c>
      <c r="C307" t="s">
        <v>167</v>
      </c>
      <c r="D307" t="s">
        <v>423</v>
      </c>
      <c r="E307" t="s">
        <v>21</v>
      </c>
      <c r="F307" t="s">
        <v>29</v>
      </c>
      <c r="G307" t="s">
        <v>29</v>
      </c>
      <c r="H307" t="s">
        <v>22</v>
      </c>
      <c r="I307" t="s">
        <v>23</v>
      </c>
      <c r="J307">
        <v>0</v>
      </c>
      <c r="K307" t="s">
        <v>21</v>
      </c>
      <c r="L307">
        <v>43</v>
      </c>
      <c r="M307">
        <v>0</v>
      </c>
      <c r="N307" t="s">
        <v>81</v>
      </c>
      <c r="O307" t="s">
        <v>170</v>
      </c>
      <c r="P307" t="s">
        <v>138</v>
      </c>
      <c r="Q307" t="s">
        <v>244</v>
      </c>
      <c r="U307" t="str">
        <f t="shared" si="12"/>
        <v>Batting First Won</v>
      </c>
      <c r="X307" t="str">
        <f t="shared" si="13"/>
        <v>No</v>
      </c>
      <c r="AA307" t="str">
        <f t="shared" si="14"/>
        <v>2011</v>
      </c>
    </row>
    <row r="308" spans="1:27" x14ac:dyDescent="0.35">
      <c r="A308">
        <v>307</v>
      </c>
      <c r="B308" t="s">
        <v>366</v>
      </c>
      <c r="C308" t="s">
        <v>167</v>
      </c>
      <c r="D308" t="s">
        <v>424</v>
      </c>
      <c r="E308" t="s">
        <v>141</v>
      </c>
      <c r="F308" t="s">
        <v>21</v>
      </c>
      <c r="G308" t="s">
        <v>141</v>
      </c>
      <c r="H308" t="s">
        <v>50</v>
      </c>
      <c r="I308" t="s">
        <v>23</v>
      </c>
      <c r="J308">
        <v>0</v>
      </c>
      <c r="K308" t="s">
        <v>141</v>
      </c>
      <c r="L308">
        <v>58</v>
      </c>
      <c r="M308">
        <v>0</v>
      </c>
      <c r="N308" t="s">
        <v>339</v>
      </c>
      <c r="O308" t="s">
        <v>170</v>
      </c>
      <c r="P308" t="s">
        <v>138</v>
      </c>
      <c r="Q308" t="s">
        <v>244</v>
      </c>
      <c r="U308" t="str">
        <f t="shared" si="12"/>
        <v>Batting First Won</v>
      </c>
      <c r="X308" t="str">
        <f t="shared" si="13"/>
        <v>Yes</v>
      </c>
      <c r="AA308" t="str">
        <f t="shared" si="14"/>
        <v>2011</v>
      </c>
    </row>
    <row r="309" spans="1:27" x14ac:dyDescent="0.35">
      <c r="A309">
        <v>308</v>
      </c>
      <c r="B309" t="s">
        <v>425</v>
      </c>
      <c r="C309" t="s">
        <v>167</v>
      </c>
      <c r="D309" s="1">
        <v>41003</v>
      </c>
      <c r="E309" t="s">
        <v>141</v>
      </c>
      <c r="F309" t="s">
        <v>29</v>
      </c>
      <c r="G309" t="s">
        <v>29</v>
      </c>
      <c r="H309" t="s">
        <v>22</v>
      </c>
      <c r="I309" t="s">
        <v>23</v>
      </c>
      <c r="J309">
        <v>0</v>
      </c>
      <c r="K309" t="s">
        <v>29</v>
      </c>
      <c r="L309">
        <v>0</v>
      </c>
      <c r="M309">
        <v>8</v>
      </c>
      <c r="N309" t="s">
        <v>426</v>
      </c>
      <c r="O309" t="s">
        <v>170</v>
      </c>
      <c r="P309" t="s">
        <v>427</v>
      </c>
      <c r="Q309" t="s">
        <v>244</v>
      </c>
      <c r="U309" t="str">
        <f t="shared" si="12"/>
        <v>Chasing Won</v>
      </c>
      <c r="X309" t="str">
        <f t="shared" si="13"/>
        <v>Yes</v>
      </c>
      <c r="AA309" t="str">
        <f t="shared" si="14"/>
        <v>2012</v>
      </c>
    </row>
    <row r="310" spans="1:27" x14ac:dyDescent="0.35">
      <c r="A310">
        <v>309</v>
      </c>
      <c r="B310" t="s">
        <v>425</v>
      </c>
      <c r="C310" t="s">
        <v>61</v>
      </c>
      <c r="D310" s="1">
        <v>41033</v>
      </c>
      <c r="E310" t="s">
        <v>37</v>
      </c>
      <c r="F310" t="s">
        <v>49</v>
      </c>
      <c r="G310" t="s">
        <v>49</v>
      </c>
      <c r="H310" t="s">
        <v>22</v>
      </c>
      <c r="I310" t="s">
        <v>23</v>
      </c>
      <c r="J310">
        <v>0</v>
      </c>
      <c r="K310" t="s">
        <v>49</v>
      </c>
      <c r="L310">
        <v>0</v>
      </c>
      <c r="M310">
        <v>8</v>
      </c>
      <c r="N310" t="s">
        <v>193</v>
      </c>
      <c r="O310" t="s">
        <v>64</v>
      </c>
      <c r="P310" t="s">
        <v>259</v>
      </c>
      <c r="Q310" t="s">
        <v>256</v>
      </c>
      <c r="U310" t="str">
        <f t="shared" si="12"/>
        <v>Chasing Won</v>
      </c>
      <c r="X310" t="str">
        <f t="shared" si="13"/>
        <v>Yes</v>
      </c>
      <c r="AA310" t="str">
        <f t="shared" si="14"/>
        <v>2012</v>
      </c>
    </row>
    <row r="311" spans="1:27" x14ac:dyDescent="0.35">
      <c r="A311">
        <v>310</v>
      </c>
      <c r="B311" t="s">
        <v>425</v>
      </c>
      <c r="C311" t="s">
        <v>55</v>
      </c>
      <c r="D311" s="1">
        <v>41064</v>
      </c>
      <c r="E311" t="s">
        <v>373</v>
      </c>
      <c r="F311" t="s">
        <v>29</v>
      </c>
      <c r="G311" t="s">
        <v>29</v>
      </c>
      <c r="H311" t="s">
        <v>22</v>
      </c>
      <c r="I311" t="s">
        <v>23</v>
      </c>
      <c r="J311">
        <v>0</v>
      </c>
      <c r="K311" t="s">
        <v>373</v>
      </c>
      <c r="L311">
        <v>28</v>
      </c>
      <c r="M311">
        <v>0</v>
      </c>
      <c r="N311" t="s">
        <v>31</v>
      </c>
      <c r="O311" t="s">
        <v>57</v>
      </c>
      <c r="P311" t="s">
        <v>46</v>
      </c>
      <c r="Q311" t="s">
        <v>244</v>
      </c>
      <c r="U311" t="str">
        <f t="shared" si="12"/>
        <v>Batting First Won</v>
      </c>
      <c r="X311" t="str">
        <f t="shared" si="13"/>
        <v>No</v>
      </c>
      <c r="AA311" t="str">
        <f t="shared" si="14"/>
        <v>2012</v>
      </c>
    </row>
    <row r="312" spans="1:27" x14ac:dyDescent="0.35">
      <c r="A312">
        <v>311</v>
      </c>
      <c r="B312" t="s">
        <v>425</v>
      </c>
      <c r="C312" t="s">
        <v>158</v>
      </c>
      <c r="D312" s="1">
        <v>41064</v>
      </c>
      <c r="E312" t="s">
        <v>146</v>
      </c>
      <c r="F312" t="s">
        <v>43</v>
      </c>
      <c r="G312" t="s">
        <v>43</v>
      </c>
      <c r="H312" t="s">
        <v>22</v>
      </c>
      <c r="I312" t="s">
        <v>23</v>
      </c>
      <c r="J312">
        <v>0</v>
      </c>
      <c r="K312" t="s">
        <v>146</v>
      </c>
      <c r="L312">
        <v>31</v>
      </c>
      <c r="M312">
        <v>0</v>
      </c>
      <c r="N312" t="s">
        <v>428</v>
      </c>
      <c r="O312" t="s">
        <v>161</v>
      </c>
      <c r="P312" t="s">
        <v>156</v>
      </c>
      <c r="Q312" t="s">
        <v>272</v>
      </c>
      <c r="U312" t="str">
        <f t="shared" si="12"/>
        <v>Batting First Won</v>
      </c>
      <c r="X312" t="str">
        <f t="shared" si="13"/>
        <v>No</v>
      </c>
      <c r="AA312" t="str">
        <f t="shared" si="14"/>
        <v>2012</v>
      </c>
    </row>
    <row r="313" spans="1:27" x14ac:dyDescent="0.35">
      <c r="A313">
        <v>312</v>
      </c>
      <c r="B313" t="s">
        <v>425</v>
      </c>
      <c r="C313" t="s">
        <v>48</v>
      </c>
      <c r="D313" s="1">
        <v>41094</v>
      </c>
      <c r="E313" t="s">
        <v>21</v>
      </c>
      <c r="F313" t="s">
        <v>49</v>
      </c>
      <c r="G313" t="s">
        <v>49</v>
      </c>
      <c r="H313" t="s">
        <v>22</v>
      </c>
      <c r="I313" t="s">
        <v>23</v>
      </c>
      <c r="J313">
        <v>0</v>
      </c>
      <c r="K313" t="s">
        <v>21</v>
      </c>
      <c r="L313">
        <v>20</v>
      </c>
      <c r="M313">
        <v>0</v>
      </c>
      <c r="N313" t="s">
        <v>250</v>
      </c>
      <c r="O313" t="s">
        <v>52</v>
      </c>
      <c r="P313" t="s">
        <v>259</v>
      </c>
      <c r="Q313" t="s">
        <v>34</v>
      </c>
      <c r="U313" t="str">
        <f t="shared" si="12"/>
        <v>Batting First Won</v>
      </c>
      <c r="X313" t="str">
        <f t="shared" si="13"/>
        <v>No</v>
      </c>
      <c r="AA313" t="str">
        <f t="shared" si="14"/>
        <v>2012</v>
      </c>
    </row>
    <row r="314" spans="1:27" x14ac:dyDescent="0.35">
      <c r="A314">
        <v>313</v>
      </c>
      <c r="B314" t="s">
        <v>425</v>
      </c>
      <c r="C314" t="s">
        <v>429</v>
      </c>
      <c r="D314" s="1">
        <v>41094</v>
      </c>
      <c r="E314" t="s">
        <v>141</v>
      </c>
      <c r="F314" t="s">
        <v>154</v>
      </c>
      <c r="G314" t="s">
        <v>154</v>
      </c>
      <c r="H314" t="s">
        <v>22</v>
      </c>
      <c r="I314" t="s">
        <v>23</v>
      </c>
      <c r="J314">
        <v>0</v>
      </c>
      <c r="K314" t="s">
        <v>141</v>
      </c>
      <c r="L314">
        <v>74</v>
      </c>
      <c r="M314">
        <v>0</v>
      </c>
      <c r="N314" t="s">
        <v>430</v>
      </c>
      <c r="O314" t="s">
        <v>431</v>
      </c>
      <c r="P314" t="s">
        <v>427</v>
      </c>
      <c r="Q314" t="s">
        <v>256</v>
      </c>
      <c r="U314" t="str">
        <f t="shared" si="12"/>
        <v>Batting First Won</v>
      </c>
      <c r="X314" t="str">
        <f t="shared" si="13"/>
        <v>No</v>
      </c>
      <c r="AA314" t="str">
        <f t="shared" si="14"/>
        <v>2012</v>
      </c>
    </row>
    <row r="315" spans="1:27" x14ac:dyDescent="0.35">
      <c r="A315">
        <v>314</v>
      </c>
      <c r="B315" t="s">
        <v>425</v>
      </c>
      <c r="C315" t="s">
        <v>158</v>
      </c>
      <c r="D315" s="1">
        <v>41125</v>
      </c>
      <c r="E315" t="s">
        <v>146</v>
      </c>
      <c r="F315" t="s">
        <v>37</v>
      </c>
      <c r="G315" t="s">
        <v>37</v>
      </c>
      <c r="H315" t="s">
        <v>22</v>
      </c>
      <c r="I315" t="s">
        <v>23</v>
      </c>
      <c r="J315">
        <v>0</v>
      </c>
      <c r="K315" t="s">
        <v>146</v>
      </c>
      <c r="L315">
        <v>22</v>
      </c>
      <c r="M315">
        <v>0</v>
      </c>
      <c r="N315" t="s">
        <v>295</v>
      </c>
      <c r="O315" t="s">
        <v>161</v>
      </c>
      <c r="P315" t="s">
        <v>156</v>
      </c>
      <c r="Q315" t="s">
        <v>432</v>
      </c>
      <c r="U315" t="str">
        <f t="shared" si="12"/>
        <v>Batting First Won</v>
      </c>
      <c r="X315" t="str">
        <f t="shared" si="13"/>
        <v>No</v>
      </c>
      <c r="AA315" t="str">
        <f t="shared" si="14"/>
        <v>2012</v>
      </c>
    </row>
    <row r="316" spans="1:27" x14ac:dyDescent="0.35">
      <c r="A316">
        <v>315</v>
      </c>
      <c r="B316" t="s">
        <v>425</v>
      </c>
      <c r="C316" t="s">
        <v>28</v>
      </c>
      <c r="D316" s="1">
        <v>41125</v>
      </c>
      <c r="E316" t="s">
        <v>373</v>
      </c>
      <c r="F316" t="s">
        <v>43</v>
      </c>
      <c r="G316" t="s">
        <v>373</v>
      </c>
      <c r="H316" t="s">
        <v>50</v>
      </c>
      <c r="I316" t="s">
        <v>23</v>
      </c>
      <c r="J316">
        <v>0</v>
      </c>
      <c r="K316" t="s">
        <v>373</v>
      </c>
      <c r="L316">
        <v>22</v>
      </c>
      <c r="M316">
        <v>0</v>
      </c>
      <c r="N316" t="s">
        <v>433</v>
      </c>
      <c r="O316" t="s">
        <v>434</v>
      </c>
      <c r="P316" t="s">
        <v>315</v>
      </c>
      <c r="Q316" t="s">
        <v>244</v>
      </c>
      <c r="U316" t="str">
        <f t="shared" si="12"/>
        <v>Batting First Won</v>
      </c>
      <c r="X316" t="str">
        <f t="shared" si="13"/>
        <v>Yes</v>
      </c>
      <c r="AA316" t="str">
        <f t="shared" si="14"/>
        <v>2012</v>
      </c>
    </row>
    <row r="317" spans="1:27" x14ac:dyDescent="0.35">
      <c r="A317">
        <v>316</v>
      </c>
      <c r="B317" t="s">
        <v>425</v>
      </c>
      <c r="C317" t="s">
        <v>429</v>
      </c>
      <c r="D317" s="1">
        <v>41156</v>
      </c>
      <c r="E317" t="s">
        <v>154</v>
      </c>
      <c r="F317" t="s">
        <v>29</v>
      </c>
      <c r="G317" t="s">
        <v>154</v>
      </c>
      <c r="H317" t="s">
        <v>50</v>
      </c>
      <c r="I317" t="s">
        <v>23</v>
      </c>
      <c r="J317">
        <v>0</v>
      </c>
      <c r="K317" t="s">
        <v>29</v>
      </c>
      <c r="L317">
        <v>0</v>
      </c>
      <c r="M317">
        <v>5</v>
      </c>
      <c r="N317" t="s">
        <v>110</v>
      </c>
      <c r="O317" t="s">
        <v>431</v>
      </c>
      <c r="P317" t="s">
        <v>46</v>
      </c>
      <c r="Q317" t="s">
        <v>427</v>
      </c>
      <c r="U317" t="str">
        <f t="shared" si="12"/>
        <v>Chasing Won</v>
      </c>
      <c r="X317" t="str">
        <f t="shared" si="13"/>
        <v>No</v>
      </c>
      <c r="AA317" t="str">
        <f t="shared" si="14"/>
        <v>2012</v>
      </c>
    </row>
    <row r="318" spans="1:27" x14ac:dyDescent="0.35">
      <c r="A318">
        <v>317</v>
      </c>
      <c r="B318" t="s">
        <v>425</v>
      </c>
      <c r="C318" t="s">
        <v>48</v>
      </c>
      <c r="D318" s="1">
        <v>41186</v>
      </c>
      <c r="E318" t="s">
        <v>37</v>
      </c>
      <c r="F318" t="s">
        <v>21</v>
      </c>
      <c r="G318" t="s">
        <v>21</v>
      </c>
      <c r="H318" t="s">
        <v>22</v>
      </c>
      <c r="I318" t="s">
        <v>23</v>
      </c>
      <c r="J318">
        <v>0</v>
      </c>
      <c r="K318" t="s">
        <v>37</v>
      </c>
      <c r="L318">
        <v>42</v>
      </c>
      <c r="M318">
        <v>0</v>
      </c>
      <c r="N318" t="s">
        <v>201</v>
      </c>
      <c r="O318" t="s">
        <v>52</v>
      </c>
      <c r="P318" t="s">
        <v>34</v>
      </c>
      <c r="Q318" t="s">
        <v>387</v>
      </c>
      <c r="U318" t="str">
        <f t="shared" si="12"/>
        <v>Batting First Won</v>
      </c>
      <c r="X318" t="str">
        <f t="shared" si="13"/>
        <v>No</v>
      </c>
      <c r="AA318" t="str">
        <f t="shared" si="14"/>
        <v>2012</v>
      </c>
    </row>
    <row r="319" spans="1:27" x14ac:dyDescent="0.35">
      <c r="A319">
        <v>318</v>
      </c>
      <c r="B319" t="s">
        <v>425</v>
      </c>
      <c r="C319" t="s">
        <v>71</v>
      </c>
      <c r="D319" s="1">
        <v>41186</v>
      </c>
      <c r="E319" t="s">
        <v>141</v>
      </c>
      <c r="F319" t="s">
        <v>49</v>
      </c>
      <c r="G319" t="s">
        <v>49</v>
      </c>
      <c r="H319" t="s">
        <v>22</v>
      </c>
      <c r="I319" t="s">
        <v>23</v>
      </c>
      <c r="J319">
        <v>0</v>
      </c>
      <c r="K319" t="s">
        <v>49</v>
      </c>
      <c r="L319">
        <v>0</v>
      </c>
      <c r="M319">
        <v>8</v>
      </c>
      <c r="N319" t="s">
        <v>435</v>
      </c>
      <c r="O319" t="s">
        <v>73</v>
      </c>
      <c r="P319" t="s">
        <v>138</v>
      </c>
      <c r="Q319" t="s">
        <v>272</v>
      </c>
      <c r="U319" t="str">
        <f t="shared" si="12"/>
        <v>Chasing Won</v>
      </c>
      <c r="X319" t="str">
        <f t="shared" si="13"/>
        <v>Yes</v>
      </c>
      <c r="AA319" t="str">
        <f t="shared" si="14"/>
        <v>2012</v>
      </c>
    </row>
    <row r="320" spans="1:27" x14ac:dyDescent="0.35">
      <c r="A320">
        <v>319</v>
      </c>
      <c r="B320" t="s">
        <v>425</v>
      </c>
      <c r="C320" t="s">
        <v>55</v>
      </c>
      <c r="D320" s="1">
        <v>41217</v>
      </c>
      <c r="E320" t="s">
        <v>29</v>
      </c>
      <c r="F320" t="s">
        <v>146</v>
      </c>
      <c r="G320" t="s">
        <v>146</v>
      </c>
      <c r="H320" t="s">
        <v>22</v>
      </c>
      <c r="I320" t="s">
        <v>23</v>
      </c>
      <c r="J320">
        <v>0</v>
      </c>
      <c r="K320" t="s">
        <v>29</v>
      </c>
      <c r="L320">
        <v>27</v>
      </c>
      <c r="M320">
        <v>0</v>
      </c>
      <c r="N320" t="s">
        <v>66</v>
      </c>
      <c r="O320" t="s">
        <v>57</v>
      </c>
      <c r="P320" t="s">
        <v>148</v>
      </c>
      <c r="Q320" t="s">
        <v>436</v>
      </c>
      <c r="U320" t="str">
        <f t="shared" si="12"/>
        <v>Batting First Won</v>
      </c>
      <c r="X320" t="str">
        <f t="shared" si="13"/>
        <v>No</v>
      </c>
      <c r="AA320" t="str">
        <f t="shared" si="14"/>
        <v>2012</v>
      </c>
    </row>
    <row r="321" spans="1:27" x14ac:dyDescent="0.35">
      <c r="A321">
        <v>320</v>
      </c>
      <c r="B321" t="s">
        <v>425</v>
      </c>
      <c r="C321" t="s">
        <v>167</v>
      </c>
      <c r="D321" s="1">
        <v>41247</v>
      </c>
      <c r="E321" t="s">
        <v>21</v>
      </c>
      <c r="F321" t="s">
        <v>141</v>
      </c>
      <c r="G321" t="s">
        <v>21</v>
      </c>
      <c r="H321" t="s">
        <v>50</v>
      </c>
      <c r="I321" t="s">
        <v>23</v>
      </c>
      <c r="J321">
        <v>0</v>
      </c>
      <c r="K321" t="s">
        <v>141</v>
      </c>
      <c r="L321">
        <v>0</v>
      </c>
      <c r="M321">
        <v>5</v>
      </c>
      <c r="N321" t="s">
        <v>437</v>
      </c>
      <c r="O321" t="s">
        <v>170</v>
      </c>
      <c r="P321" t="s">
        <v>256</v>
      </c>
      <c r="Q321" t="s">
        <v>387</v>
      </c>
      <c r="U321" t="str">
        <f t="shared" si="12"/>
        <v>Chasing Won</v>
      </c>
      <c r="X321" t="str">
        <f t="shared" si="13"/>
        <v>No</v>
      </c>
      <c r="AA321" t="str">
        <f t="shared" si="14"/>
        <v>2012</v>
      </c>
    </row>
    <row r="322" spans="1:27" x14ac:dyDescent="0.35">
      <c r="A322">
        <v>321</v>
      </c>
      <c r="B322" t="s">
        <v>425</v>
      </c>
      <c r="C322" t="s">
        <v>101</v>
      </c>
      <c r="D322" s="1">
        <v>41247</v>
      </c>
      <c r="E322" t="s">
        <v>373</v>
      </c>
      <c r="F322" t="s">
        <v>43</v>
      </c>
      <c r="G322" t="s">
        <v>43</v>
      </c>
      <c r="H322" t="s">
        <v>22</v>
      </c>
      <c r="I322" t="s">
        <v>23</v>
      </c>
      <c r="J322">
        <v>0</v>
      </c>
      <c r="K322" t="s">
        <v>43</v>
      </c>
      <c r="L322">
        <v>0</v>
      </c>
      <c r="M322">
        <v>7</v>
      </c>
      <c r="N322" t="s">
        <v>438</v>
      </c>
      <c r="O322" t="s">
        <v>143</v>
      </c>
      <c r="P322" t="s">
        <v>432</v>
      </c>
      <c r="Q322" t="s">
        <v>272</v>
      </c>
      <c r="U322" t="str">
        <f t="shared" si="12"/>
        <v>Chasing Won</v>
      </c>
      <c r="X322" t="str">
        <f t="shared" si="13"/>
        <v>Yes</v>
      </c>
      <c r="AA322" t="str">
        <f t="shared" si="14"/>
        <v>2012</v>
      </c>
    </row>
    <row r="323" spans="1:27" x14ac:dyDescent="0.35">
      <c r="A323">
        <v>322</v>
      </c>
      <c r="B323" t="s">
        <v>425</v>
      </c>
      <c r="C323" t="s">
        <v>61</v>
      </c>
      <c r="D323" t="s">
        <v>439</v>
      </c>
      <c r="E323" t="s">
        <v>146</v>
      </c>
      <c r="F323" t="s">
        <v>37</v>
      </c>
      <c r="G323" t="s">
        <v>146</v>
      </c>
      <c r="H323" t="s">
        <v>50</v>
      </c>
      <c r="I323" t="s">
        <v>23</v>
      </c>
      <c r="J323">
        <v>0</v>
      </c>
      <c r="K323" t="s">
        <v>37</v>
      </c>
      <c r="L323">
        <v>0</v>
      </c>
      <c r="M323">
        <v>5</v>
      </c>
      <c r="N323" t="s">
        <v>440</v>
      </c>
      <c r="O323" t="s">
        <v>64</v>
      </c>
      <c r="P323" t="s">
        <v>138</v>
      </c>
      <c r="Q323" t="s">
        <v>259</v>
      </c>
      <c r="U323" t="str">
        <f t="shared" ref="U323:U386" si="15">IF(L323&gt;0,"Batting First Won","Chasing Won")</f>
        <v>Chasing Won</v>
      </c>
      <c r="X323" t="str">
        <f t="shared" ref="X323:X386" si="16">IF(G323=K323,"Yes","No")</f>
        <v>No</v>
      </c>
      <c r="AA323" t="str">
        <f t="shared" ref="AA323:AA386" si="17">RIGHT(B323,4)</f>
        <v>2012</v>
      </c>
    </row>
    <row r="324" spans="1:27" x14ac:dyDescent="0.35">
      <c r="A324">
        <v>323</v>
      </c>
      <c r="B324" t="s">
        <v>425</v>
      </c>
      <c r="C324" t="s">
        <v>71</v>
      </c>
      <c r="D324" t="s">
        <v>441</v>
      </c>
      <c r="E324" t="s">
        <v>154</v>
      </c>
      <c r="F324" t="s">
        <v>49</v>
      </c>
      <c r="G324" t="s">
        <v>154</v>
      </c>
      <c r="H324" t="s">
        <v>50</v>
      </c>
      <c r="I324" t="s">
        <v>23</v>
      </c>
      <c r="J324">
        <v>0</v>
      </c>
      <c r="K324" t="s">
        <v>49</v>
      </c>
      <c r="L324">
        <v>0</v>
      </c>
      <c r="M324">
        <v>5</v>
      </c>
      <c r="N324" t="s">
        <v>340</v>
      </c>
      <c r="O324" t="s">
        <v>73</v>
      </c>
      <c r="P324" t="s">
        <v>156</v>
      </c>
      <c r="Q324" t="s">
        <v>272</v>
      </c>
      <c r="U324" t="str">
        <f t="shared" si="15"/>
        <v>Chasing Won</v>
      </c>
      <c r="X324" t="str">
        <f t="shared" si="16"/>
        <v>No</v>
      </c>
      <c r="AA324" t="str">
        <f t="shared" si="17"/>
        <v>2012</v>
      </c>
    </row>
    <row r="325" spans="1:27" x14ac:dyDescent="0.35">
      <c r="A325">
        <v>324</v>
      </c>
      <c r="B325" t="s">
        <v>425</v>
      </c>
      <c r="C325" t="s">
        <v>28</v>
      </c>
      <c r="D325" t="s">
        <v>442</v>
      </c>
      <c r="E325" t="s">
        <v>141</v>
      </c>
      <c r="F325" t="s">
        <v>373</v>
      </c>
      <c r="G325" t="s">
        <v>141</v>
      </c>
      <c r="H325" t="s">
        <v>50</v>
      </c>
      <c r="I325" t="s">
        <v>23</v>
      </c>
      <c r="J325">
        <v>0</v>
      </c>
      <c r="K325" t="s">
        <v>373</v>
      </c>
      <c r="L325">
        <v>0</v>
      </c>
      <c r="M325">
        <v>7</v>
      </c>
      <c r="N325" t="s">
        <v>443</v>
      </c>
      <c r="O325" t="s">
        <v>434</v>
      </c>
      <c r="P325" t="s">
        <v>148</v>
      </c>
      <c r="Q325" t="s">
        <v>436</v>
      </c>
      <c r="U325" t="str">
        <f t="shared" si="15"/>
        <v>Chasing Won</v>
      </c>
      <c r="X325" t="str">
        <f t="shared" si="16"/>
        <v>No</v>
      </c>
      <c r="AA325" t="str">
        <f t="shared" si="17"/>
        <v>2012</v>
      </c>
    </row>
    <row r="326" spans="1:27" x14ac:dyDescent="0.35">
      <c r="A326">
        <v>325</v>
      </c>
      <c r="B326" t="s">
        <v>425</v>
      </c>
      <c r="C326" t="s">
        <v>61</v>
      </c>
      <c r="D326" t="s">
        <v>444</v>
      </c>
      <c r="E326" t="s">
        <v>43</v>
      </c>
      <c r="F326" t="s">
        <v>37</v>
      </c>
      <c r="G326" t="s">
        <v>37</v>
      </c>
      <c r="H326" t="s">
        <v>22</v>
      </c>
      <c r="I326" t="s">
        <v>23</v>
      </c>
      <c r="J326">
        <v>0</v>
      </c>
      <c r="K326" t="s">
        <v>43</v>
      </c>
      <c r="L326">
        <v>2</v>
      </c>
      <c r="M326">
        <v>0</v>
      </c>
      <c r="N326" t="s">
        <v>63</v>
      </c>
      <c r="O326" t="s">
        <v>64</v>
      </c>
      <c r="P326" t="s">
        <v>138</v>
      </c>
      <c r="Q326" t="s">
        <v>259</v>
      </c>
      <c r="U326" t="str">
        <f t="shared" si="15"/>
        <v>Batting First Won</v>
      </c>
      <c r="X326" t="str">
        <f t="shared" si="16"/>
        <v>No</v>
      </c>
      <c r="AA326" t="str">
        <f t="shared" si="17"/>
        <v>2012</v>
      </c>
    </row>
    <row r="327" spans="1:27" x14ac:dyDescent="0.35">
      <c r="A327">
        <v>326</v>
      </c>
      <c r="B327" t="s">
        <v>425</v>
      </c>
      <c r="C327" t="s">
        <v>48</v>
      </c>
      <c r="D327" t="s">
        <v>444</v>
      </c>
      <c r="E327" t="s">
        <v>146</v>
      </c>
      <c r="F327" t="s">
        <v>21</v>
      </c>
      <c r="G327" t="s">
        <v>146</v>
      </c>
      <c r="H327" t="s">
        <v>50</v>
      </c>
      <c r="I327" t="s">
        <v>23</v>
      </c>
      <c r="J327">
        <v>0</v>
      </c>
      <c r="K327" t="s">
        <v>146</v>
      </c>
      <c r="L327">
        <v>59</v>
      </c>
      <c r="M327">
        <v>0</v>
      </c>
      <c r="N327" t="s">
        <v>428</v>
      </c>
      <c r="O327" t="s">
        <v>52</v>
      </c>
      <c r="P327" t="s">
        <v>427</v>
      </c>
      <c r="Q327" t="s">
        <v>387</v>
      </c>
      <c r="U327" t="str">
        <f t="shared" si="15"/>
        <v>Batting First Won</v>
      </c>
      <c r="X327" t="str">
        <f t="shared" si="16"/>
        <v>Yes</v>
      </c>
      <c r="AA327" t="str">
        <f t="shared" si="17"/>
        <v>2012</v>
      </c>
    </row>
    <row r="328" spans="1:27" x14ac:dyDescent="0.35">
      <c r="A328">
        <v>327</v>
      </c>
      <c r="B328" t="s">
        <v>425</v>
      </c>
      <c r="C328" t="s">
        <v>55</v>
      </c>
      <c r="D328" t="s">
        <v>445</v>
      </c>
      <c r="E328" t="s">
        <v>29</v>
      </c>
      <c r="F328" t="s">
        <v>49</v>
      </c>
      <c r="G328" t="s">
        <v>49</v>
      </c>
      <c r="H328" t="s">
        <v>22</v>
      </c>
      <c r="I328" t="s">
        <v>23</v>
      </c>
      <c r="J328">
        <v>0</v>
      </c>
      <c r="K328" t="s">
        <v>49</v>
      </c>
      <c r="L328">
        <v>0</v>
      </c>
      <c r="M328">
        <v>7</v>
      </c>
      <c r="N328" t="s">
        <v>446</v>
      </c>
      <c r="O328" t="s">
        <v>57</v>
      </c>
      <c r="P328" t="s">
        <v>156</v>
      </c>
      <c r="Q328" t="s">
        <v>272</v>
      </c>
      <c r="U328" t="str">
        <f t="shared" si="15"/>
        <v>Chasing Won</v>
      </c>
      <c r="X328" t="str">
        <f t="shared" si="16"/>
        <v>Yes</v>
      </c>
      <c r="AA328" t="str">
        <f t="shared" si="17"/>
        <v>2012</v>
      </c>
    </row>
    <row r="329" spans="1:27" x14ac:dyDescent="0.35">
      <c r="A329">
        <v>328</v>
      </c>
      <c r="B329" t="s">
        <v>425</v>
      </c>
      <c r="C329" t="s">
        <v>158</v>
      </c>
      <c r="D329" t="s">
        <v>447</v>
      </c>
      <c r="E329" t="s">
        <v>154</v>
      </c>
      <c r="F329" t="s">
        <v>146</v>
      </c>
      <c r="G329" t="s">
        <v>154</v>
      </c>
      <c r="H329" t="s">
        <v>50</v>
      </c>
      <c r="I329" t="s">
        <v>23</v>
      </c>
      <c r="J329">
        <v>0</v>
      </c>
      <c r="K329" t="s">
        <v>146</v>
      </c>
      <c r="L329">
        <v>0</v>
      </c>
      <c r="M329">
        <v>5</v>
      </c>
      <c r="N329" t="s">
        <v>295</v>
      </c>
      <c r="O329" t="s">
        <v>161</v>
      </c>
      <c r="P329" t="s">
        <v>148</v>
      </c>
      <c r="Q329" t="s">
        <v>436</v>
      </c>
      <c r="U329" t="str">
        <f t="shared" si="15"/>
        <v>Chasing Won</v>
      </c>
      <c r="X329" t="str">
        <f t="shared" si="16"/>
        <v>No</v>
      </c>
      <c r="AA329" t="str">
        <f t="shared" si="17"/>
        <v>2012</v>
      </c>
    </row>
    <row r="330" spans="1:27" x14ac:dyDescent="0.35">
      <c r="A330">
        <v>329</v>
      </c>
      <c r="B330" t="s">
        <v>425</v>
      </c>
      <c r="C330" t="s">
        <v>48</v>
      </c>
      <c r="D330" t="s">
        <v>447</v>
      </c>
      <c r="E330" t="s">
        <v>373</v>
      </c>
      <c r="F330" t="s">
        <v>21</v>
      </c>
      <c r="G330" t="s">
        <v>373</v>
      </c>
      <c r="H330" t="s">
        <v>50</v>
      </c>
      <c r="I330" t="s">
        <v>23</v>
      </c>
      <c r="J330">
        <v>0</v>
      </c>
      <c r="K330" t="s">
        <v>21</v>
      </c>
      <c r="L330">
        <v>0</v>
      </c>
      <c r="M330">
        <v>6</v>
      </c>
      <c r="N330" t="s">
        <v>81</v>
      </c>
      <c r="O330" t="s">
        <v>52</v>
      </c>
      <c r="P330" t="s">
        <v>259</v>
      </c>
      <c r="Q330" t="s">
        <v>315</v>
      </c>
      <c r="U330" t="str">
        <f t="shared" si="15"/>
        <v>Chasing Won</v>
      </c>
      <c r="X330" t="str">
        <f t="shared" si="16"/>
        <v>No</v>
      </c>
      <c r="AA330" t="str">
        <f t="shared" si="17"/>
        <v>2012</v>
      </c>
    </row>
    <row r="331" spans="1:27" x14ac:dyDescent="0.35">
      <c r="A331">
        <v>330</v>
      </c>
      <c r="B331" t="s">
        <v>425</v>
      </c>
      <c r="C331" t="s">
        <v>101</v>
      </c>
      <c r="D331" t="s">
        <v>448</v>
      </c>
      <c r="E331" t="s">
        <v>43</v>
      </c>
      <c r="F331" t="s">
        <v>37</v>
      </c>
      <c r="G331" t="s">
        <v>43</v>
      </c>
      <c r="H331" t="s">
        <v>50</v>
      </c>
      <c r="I331" t="s">
        <v>23</v>
      </c>
      <c r="J331">
        <v>0</v>
      </c>
      <c r="K331" t="s">
        <v>37</v>
      </c>
      <c r="L331">
        <v>0</v>
      </c>
      <c r="M331">
        <v>8</v>
      </c>
      <c r="N331" t="s">
        <v>100</v>
      </c>
      <c r="O331" t="s">
        <v>143</v>
      </c>
      <c r="P331" t="s">
        <v>427</v>
      </c>
      <c r="Q331" t="s">
        <v>387</v>
      </c>
      <c r="U331" t="str">
        <f t="shared" si="15"/>
        <v>Chasing Won</v>
      </c>
      <c r="X331" t="str">
        <f t="shared" si="16"/>
        <v>No</v>
      </c>
      <c r="AA331" t="str">
        <f t="shared" si="17"/>
        <v>2012</v>
      </c>
    </row>
    <row r="332" spans="1:27" x14ac:dyDescent="0.35">
      <c r="A332">
        <v>331</v>
      </c>
      <c r="B332" t="s">
        <v>425</v>
      </c>
      <c r="C332" t="s">
        <v>19</v>
      </c>
      <c r="D332" s="1">
        <v>41187</v>
      </c>
      <c r="E332" t="s">
        <v>154</v>
      </c>
      <c r="F332" t="s">
        <v>49</v>
      </c>
      <c r="G332" t="s">
        <v>154</v>
      </c>
      <c r="H332" t="s">
        <v>50</v>
      </c>
      <c r="I332" t="s">
        <v>23</v>
      </c>
      <c r="J332">
        <v>0</v>
      </c>
      <c r="K332" t="s">
        <v>49</v>
      </c>
      <c r="L332">
        <v>0</v>
      </c>
      <c r="M332">
        <v>9</v>
      </c>
      <c r="N332" t="s">
        <v>109</v>
      </c>
      <c r="O332" t="s">
        <v>25</v>
      </c>
      <c r="P332" t="s">
        <v>427</v>
      </c>
      <c r="Q332" t="s">
        <v>244</v>
      </c>
      <c r="U332" t="str">
        <f t="shared" si="15"/>
        <v>Chasing Won</v>
      </c>
      <c r="X332" t="str">
        <f t="shared" si="16"/>
        <v>No</v>
      </c>
      <c r="AA332" t="str">
        <f t="shared" si="17"/>
        <v>2012</v>
      </c>
    </row>
    <row r="333" spans="1:27" x14ac:dyDescent="0.35">
      <c r="A333">
        <v>332</v>
      </c>
      <c r="B333" t="s">
        <v>425</v>
      </c>
      <c r="C333" t="s">
        <v>167</v>
      </c>
      <c r="D333" t="s">
        <v>441</v>
      </c>
      <c r="E333" t="s">
        <v>141</v>
      </c>
      <c r="F333" t="s">
        <v>373</v>
      </c>
      <c r="G333" t="s">
        <v>373</v>
      </c>
      <c r="H333" t="s">
        <v>22</v>
      </c>
      <c r="I333" t="s">
        <v>23</v>
      </c>
      <c r="J333">
        <v>0</v>
      </c>
      <c r="K333" t="s">
        <v>141</v>
      </c>
      <c r="L333">
        <v>13</v>
      </c>
      <c r="M333">
        <v>0</v>
      </c>
      <c r="N333" t="s">
        <v>449</v>
      </c>
      <c r="O333" t="s">
        <v>170</v>
      </c>
      <c r="P333" t="s">
        <v>138</v>
      </c>
      <c r="Q333" t="s">
        <v>315</v>
      </c>
      <c r="U333" t="str">
        <f t="shared" si="15"/>
        <v>Batting First Won</v>
      </c>
      <c r="X333" t="str">
        <f t="shared" si="16"/>
        <v>No</v>
      </c>
      <c r="AA333" t="str">
        <f t="shared" si="17"/>
        <v>2012</v>
      </c>
    </row>
    <row r="334" spans="1:27" x14ac:dyDescent="0.35">
      <c r="A334">
        <v>333</v>
      </c>
      <c r="B334" t="s">
        <v>425</v>
      </c>
      <c r="C334" t="s">
        <v>101</v>
      </c>
      <c r="D334" t="s">
        <v>450</v>
      </c>
      <c r="E334" t="s">
        <v>43</v>
      </c>
      <c r="F334" t="s">
        <v>21</v>
      </c>
      <c r="G334" t="s">
        <v>21</v>
      </c>
      <c r="H334" t="s">
        <v>22</v>
      </c>
      <c r="I334" t="s">
        <v>23</v>
      </c>
      <c r="J334">
        <v>0</v>
      </c>
      <c r="K334" t="s">
        <v>21</v>
      </c>
      <c r="L334">
        <v>0</v>
      </c>
      <c r="M334">
        <v>5</v>
      </c>
      <c r="N334" t="s">
        <v>81</v>
      </c>
      <c r="O334" t="s">
        <v>143</v>
      </c>
      <c r="P334" t="s">
        <v>34</v>
      </c>
      <c r="Q334" t="s">
        <v>387</v>
      </c>
      <c r="U334" t="str">
        <f t="shared" si="15"/>
        <v>Chasing Won</v>
      </c>
      <c r="X334" t="str">
        <f t="shared" si="16"/>
        <v>Yes</v>
      </c>
      <c r="AA334" t="str">
        <f t="shared" si="17"/>
        <v>2012</v>
      </c>
    </row>
    <row r="335" spans="1:27" x14ac:dyDescent="0.35">
      <c r="A335">
        <v>334</v>
      </c>
      <c r="B335" t="s">
        <v>425</v>
      </c>
      <c r="C335" t="s">
        <v>167</v>
      </c>
      <c r="D335" t="s">
        <v>451</v>
      </c>
      <c r="E335" t="s">
        <v>146</v>
      </c>
      <c r="F335" t="s">
        <v>141</v>
      </c>
      <c r="G335" t="s">
        <v>146</v>
      </c>
      <c r="H335" t="s">
        <v>50</v>
      </c>
      <c r="I335" t="s">
        <v>23</v>
      </c>
      <c r="J335">
        <v>0</v>
      </c>
      <c r="K335" t="s">
        <v>141</v>
      </c>
      <c r="L335">
        <v>0</v>
      </c>
      <c r="M335">
        <v>7</v>
      </c>
      <c r="N335" t="s">
        <v>437</v>
      </c>
      <c r="O335" t="s">
        <v>170</v>
      </c>
      <c r="P335" t="s">
        <v>148</v>
      </c>
      <c r="Q335" t="s">
        <v>436</v>
      </c>
      <c r="U335" t="str">
        <f t="shared" si="15"/>
        <v>Chasing Won</v>
      </c>
      <c r="X335" t="str">
        <f t="shared" si="16"/>
        <v>No</v>
      </c>
      <c r="AA335" t="str">
        <f t="shared" si="17"/>
        <v>2012</v>
      </c>
    </row>
    <row r="336" spans="1:27" x14ac:dyDescent="0.35">
      <c r="A336">
        <v>335</v>
      </c>
      <c r="B336" t="s">
        <v>425</v>
      </c>
      <c r="C336" t="s">
        <v>71</v>
      </c>
      <c r="D336" t="s">
        <v>451</v>
      </c>
      <c r="E336" t="s">
        <v>373</v>
      </c>
      <c r="F336" t="s">
        <v>49</v>
      </c>
      <c r="G336" t="s">
        <v>49</v>
      </c>
      <c r="H336" t="s">
        <v>22</v>
      </c>
      <c r="I336" t="s">
        <v>23</v>
      </c>
      <c r="J336">
        <v>0</v>
      </c>
      <c r="K336" t="s">
        <v>373</v>
      </c>
      <c r="L336">
        <v>20</v>
      </c>
      <c r="M336">
        <v>0</v>
      </c>
      <c r="N336" t="s">
        <v>198</v>
      </c>
      <c r="O336" t="s">
        <v>73</v>
      </c>
      <c r="P336" t="s">
        <v>138</v>
      </c>
      <c r="Q336" t="s">
        <v>315</v>
      </c>
      <c r="U336" t="str">
        <f t="shared" si="15"/>
        <v>Batting First Won</v>
      </c>
      <c r="X336" t="str">
        <f t="shared" si="16"/>
        <v>No</v>
      </c>
      <c r="AA336" t="str">
        <f t="shared" si="17"/>
        <v>2012</v>
      </c>
    </row>
    <row r="337" spans="1:27" x14ac:dyDescent="0.35">
      <c r="A337">
        <v>336</v>
      </c>
      <c r="B337" t="s">
        <v>425</v>
      </c>
      <c r="C337" t="s">
        <v>55</v>
      </c>
      <c r="D337" t="s">
        <v>452</v>
      </c>
      <c r="E337" t="s">
        <v>29</v>
      </c>
      <c r="F337" t="s">
        <v>43</v>
      </c>
      <c r="G337" t="s">
        <v>29</v>
      </c>
      <c r="H337" t="s">
        <v>50</v>
      </c>
      <c r="I337" t="s">
        <v>23</v>
      </c>
      <c r="J337">
        <v>0</v>
      </c>
      <c r="K337" t="s">
        <v>43</v>
      </c>
      <c r="L337">
        <v>0</v>
      </c>
      <c r="M337">
        <v>6</v>
      </c>
      <c r="N337" t="s">
        <v>189</v>
      </c>
      <c r="O337" t="s">
        <v>57</v>
      </c>
      <c r="P337" t="s">
        <v>34</v>
      </c>
      <c r="Q337" t="s">
        <v>387</v>
      </c>
      <c r="U337" t="str">
        <f t="shared" si="15"/>
        <v>Chasing Won</v>
      </c>
      <c r="X337" t="str">
        <f t="shared" si="16"/>
        <v>No</v>
      </c>
      <c r="AA337" t="str">
        <f t="shared" si="17"/>
        <v>2012</v>
      </c>
    </row>
    <row r="338" spans="1:27" x14ac:dyDescent="0.35">
      <c r="A338">
        <v>337</v>
      </c>
      <c r="B338" t="s">
        <v>425</v>
      </c>
      <c r="C338" t="s">
        <v>319</v>
      </c>
      <c r="D338" t="s">
        <v>452</v>
      </c>
      <c r="E338" t="s">
        <v>154</v>
      </c>
      <c r="F338" t="s">
        <v>37</v>
      </c>
      <c r="G338" t="s">
        <v>37</v>
      </c>
      <c r="H338" t="s">
        <v>22</v>
      </c>
      <c r="I338" t="s">
        <v>23</v>
      </c>
      <c r="J338">
        <v>0</v>
      </c>
      <c r="K338" t="s">
        <v>37</v>
      </c>
      <c r="L338">
        <v>0</v>
      </c>
      <c r="M338">
        <v>5</v>
      </c>
      <c r="N338" t="s">
        <v>290</v>
      </c>
      <c r="O338" t="s">
        <v>321</v>
      </c>
      <c r="P338" t="s">
        <v>156</v>
      </c>
      <c r="Q338" t="s">
        <v>272</v>
      </c>
      <c r="U338" t="str">
        <f t="shared" si="15"/>
        <v>Chasing Won</v>
      </c>
      <c r="X338" t="str">
        <f t="shared" si="16"/>
        <v>Yes</v>
      </c>
      <c r="AA338" t="str">
        <f t="shared" si="17"/>
        <v>2012</v>
      </c>
    </row>
    <row r="339" spans="1:27" x14ac:dyDescent="0.35">
      <c r="A339">
        <v>338</v>
      </c>
      <c r="B339" t="s">
        <v>425</v>
      </c>
      <c r="C339" t="s">
        <v>158</v>
      </c>
      <c r="D339" t="s">
        <v>453</v>
      </c>
      <c r="E339" t="s">
        <v>21</v>
      </c>
      <c r="F339" t="s">
        <v>146</v>
      </c>
      <c r="G339" t="s">
        <v>146</v>
      </c>
      <c r="H339" t="s">
        <v>22</v>
      </c>
      <c r="I339" t="s">
        <v>23</v>
      </c>
      <c r="J339">
        <v>0</v>
      </c>
      <c r="K339" t="s">
        <v>21</v>
      </c>
      <c r="L339">
        <v>46</v>
      </c>
      <c r="M339">
        <v>0</v>
      </c>
      <c r="N339" t="s">
        <v>250</v>
      </c>
      <c r="O339" t="s">
        <v>161</v>
      </c>
      <c r="P339" t="s">
        <v>138</v>
      </c>
      <c r="Q339" t="s">
        <v>259</v>
      </c>
      <c r="U339" t="str">
        <f t="shared" si="15"/>
        <v>Batting First Won</v>
      </c>
      <c r="X339" t="str">
        <f t="shared" si="16"/>
        <v>No</v>
      </c>
      <c r="AA339" t="str">
        <f t="shared" si="17"/>
        <v>2012</v>
      </c>
    </row>
    <row r="340" spans="1:27" x14ac:dyDescent="0.35">
      <c r="A340">
        <v>339</v>
      </c>
      <c r="B340" t="s">
        <v>425</v>
      </c>
      <c r="C340" t="s">
        <v>28</v>
      </c>
      <c r="D340" t="s">
        <v>454</v>
      </c>
      <c r="E340" t="s">
        <v>373</v>
      </c>
      <c r="F340" t="s">
        <v>49</v>
      </c>
      <c r="G340" t="s">
        <v>373</v>
      </c>
      <c r="H340" t="s">
        <v>50</v>
      </c>
      <c r="I340" t="s">
        <v>23</v>
      </c>
      <c r="J340">
        <v>0</v>
      </c>
      <c r="K340" t="s">
        <v>49</v>
      </c>
      <c r="L340">
        <v>0</v>
      </c>
      <c r="M340">
        <v>8</v>
      </c>
      <c r="N340" t="s">
        <v>164</v>
      </c>
      <c r="O340" t="s">
        <v>434</v>
      </c>
      <c r="P340" t="s">
        <v>34</v>
      </c>
      <c r="Q340" t="s">
        <v>387</v>
      </c>
      <c r="U340" t="str">
        <f t="shared" si="15"/>
        <v>Chasing Won</v>
      </c>
      <c r="X340" t="str">
        <f t="shared" si="16"/>
        <v>No</v>
      </c>
      <c r="AA340" t="str">
        <f t="shared" si="17"/>
        <v>2012</v>
      </c>
    </row>
    <row r="341" spans="1:27" x14ac:dyDescent="0.35">
      <c r="A341">
        <v>340</v>
      </c>
      <c r="B341" t="s">
        <v>425</v>
      </c>
      <c r="C341" t="s">
        <v>101</v>
      </c>
      <c r="D341" t="s">
        <v>455</v>
      </c>
      <c r="E341" t="s">
        <v>43</v>
      </c>
      <c r="F341" t="s">
        <v>29</v>
      </c>
      <c r="G341" t="s">
        <v>43</v>
      </c>
      <c r="H341" t="s">
        <v>50</v>
      </c>
      <c r="I341" t="s">
        <v>23</v>
      </c>
      <c r="J341">
        <v>0</v>
      </c>
      <c r="K341" t="s">
        <v>29</v>
      </c>
      <c r="L341">
        <v>0</v>
      </c>
      <c r="M341">
        <v>4</v>
      </c>
      <c r="N341" t="s">
        <v>126</v>
      </c>
      <c r="O341" t="s">
        <v>143</v>
      </c>
      <c r="P341" t="s">
        <v>148</v>
      </c>
      <c r="Q341" t="s">
        <v>436</v>
      </c>
      <c r="U341" t="str">
        <f t="shared" si="15"/>
        <v>Chasing Won</v>
      </c>
      <c r="X341" t="str">
        <f t="shared" si="16"/>
        <v>No</v>
      </c>
      <c r="AA341" t="str">
        <f t="shared" si="17"/>
        <v>2012</v>
      </c>
    </row>
    <row r="342" spans="1:27" x14ac:dyDescent="0.35">
      <c r="A342">
        <v>341</v>
      </c>
      <c r="B342" t="s">
        <v>425</v>
      </c>
      <c r="C342" t="s">
        <v>28</v>
      </c>
      <c r="D342" t="s">
        <v>456</v>
      </c>
      <c r="E342" t="s">
        <v>154</v>
      </c>
      <c r="F342" t="s">
        <v>373</v>
      </c>
      <c r="G342" t="s">
        <v>154</v>
      </c>
      <c r="H342" t="s">
        <v>50</v>
      </c>
      <c r="I342" t="s">
        <v>23</v>
      </c>
      <c r="J342">
        <v>0</v>
      </c>
      <c r="K342" t="s">
        <v>154</v>
      </c>
      <c r="L342">
        <v>18</v>
      </c>
      <c r="M342">
        <v>0</v>
      </c>
      <c r="N342" t="s">
        <v>457</v>
      </c>
      <c r="O342" t="s">
        <v>434</v>
      </c>
      <c r="P342" t="s">
        <v>34</v>
      </c>
      <c r="Q342" t="s">
        <v>387</v>
      </c>
      <c r="U342" t="str">
        <f t="shared" si="15"/>
        <v>Batting First Won</v>
      </c>
      <c r="X342" t="str">
        <f t="shared" si="16"/>
        <v>Yes</v>
      </c>
      <c r="AA342" t="str">
        <f t="shared" si="17"/>
        <v>2012</v>
      </c>
    </row>
    <row r="343" spans="1:27" x14ac:dyDescent="0.35">
      <c r="A343">
        <v>342</v>
      </c>
      <c r="B343" t="s">
        <v>425</v>
      </c>
      <c r="C343" t="s">
        <v>71</v>
      </c>
      <c r="D343" t="s">
        <v>458</v>
      </c>
      <c r="E343" t="s">
        <v>49</v>
      </c>
      <c r="F343" t="s">
        <v>29</v>
      </c>
      <c r="G343" t="s">
        <v>29</v>
      </c>
      <c r="H343" t="s">
        <v>22</v>
      </c>
      <c r="I343" t="s">
        <v>23</v>
      </c>
      <c r="J343">
        <v>0</v>
      </c>
      <c r="K343" t="s">
        <v>49</v>
      </c>
      <c r="L343">
        <v>37</v>
      </c>
      <c r="M343">
        <v>0</v>
      </c>
      <c r="N343" t="s">
        <v>164</v>
      </c>
      <c r="O343" t="s">
        <v>73</v>
      </c>
      <c r="P343" t="s">
        <v>148</v>
      </c>
      <c r="Q343" t="s">
        <v>436</v>
      </c>
      <c r="U343" t="str">
        <f t="shared" si="15"/>
        <v>Batting First Won</v>
      </c>
      <c r="X343" t="str">
        <f t="shared" si="16"/>
        <v>No</v>
      </c>
      <c r="AA343" t="str">
        <f t="shared" si="17"/>
        <v>2012</v>
      </c>
    </row>
    <row r="344" spans="1:27" x14ac:dyDescent="0.35">
      <c r="A344">
        <v>343</v>
      </c>
      <c r="B344" t="s">
        <v>425</v>
      </c>
      <c r="C344" t="s">
        <v>167</v>
      </c>
      <c r="D344" t="s">
        <v>459</v>
      </c>
      <c r="E344" t="s">
        <v>43</v>
      </c>
      <c r="F344" t="s">
        <v>141</v>
      </c>
      <c r="G344" t="s">
        <v>43</v>
      </c>
      <c r="H344" t="s">
        <v>50</v>
      </c>
      <c r="I344" t="s">
        <v>23</v>
      </c>
      <c r="J344">
        <v>0</v>
      </c>
      <c r="K344" t="s">
        <v>43</v>
      </c>
      <c r="L344">
        <v>7</v>
      </c>
      <c r="M344">
        <v>0</v>
      </c>
      <c r="N344" t="s">
        <v>460</v>
      </c>
      <c r="O344" t="s">
        <v>170</v>
      </c>
      <c r="P344" t="s">
        <v>156</v>
      </c>
      <c r="Q344" t="s">
        <v>272</v>
      </c>
      <c r="U344" t="str">
        <f t="shared" si="15"/>
        <v>Batting First Won</v>
      </c>
      <c r="X344" t="str">
        <f t="shared" si="16"/>
        <v>Yes</v>
      </c>
      <c r="AA344" t="str">
        <f t="shared" si="17"/>
        <v>2012</v>
      </c>
    </row>
    <row r="345" spans="1:27" x14ac:dyDescent="0.35">
      <c r="A345">
        <v>344</v>
      </c>
      <c r="B345" t="s">
        <v>425</v>
      </c>
      <c r="C345" t="s">
        <v>61</v>
      </c>
      <c r="D345" t="s">
        <v>459</v>
      </c>
      <c r="E345" t="s">
        <v>37</v>
      </c>
      <c r="F345" t="s">
        <v>21</v>
      </c>
      <c r="G345" t="s">
        <v>37</v>
      </c>
      <c r="H345" t="s">
        <v>50</v>
      </c>
      <c r="I345" t="s">
        <v>23</v>
      </c>
      <c r="J345">
        <v>0</v>
      </c>
      <c r="K345" t="s">
        <v>37</v>
      </c>
      <c r="L345">
        <v>47</v>
      </c>
      <c r="M345">
        <v>0</v>
      </c>
      <c r="N345" t="s">
        <v>100</v>
      </c>
      <c r="O345" t="s">
        <v>64</v>
      </c>
      <c r="P345" t="s">
        <v>138</v>
      </c>
      <c r="Q345" t="s">
        <v>184</v>
      </c>
      <c r="U345" t="str">
        <f t="shared" si="15"/>
        <v>Batting First Won</v>
      </c>
      <c r="X345" t="str">
        <f t="shared" si="16"/>
        <v>Yes</v>
      </c>
      <c r="AA345" t="str">
        <f t="shared" si="17"/>
        <v>2012</v>
      </c>
    </row>
    <row r="346" spans="1:27" x14ac:dyDescent="0.35">
      <c r="A346">
        <v>345</v>
      </c>
      <c r="B346" t="s">
        <v>425</v>
      </c>
      <c r="C346" t="s">
        <v>71</v>
      </c>
      <c r="D346" t="s">
        <v>461</v>
      </c>
      <c r="E346" t="s">
        <v>49</v>
      </c>
      <c r="F346" t="s">
        <v>146</v>
      </c>
      <c r="G346" t="s">
        <v>49</v>
      </c>
      <c r="H346" t="s">
        <v>50</v>
      </c>
      <c r="I346" t="s">
        <v>23</v>
      </c>
      <c r="J346">
        <v>0</v>
      </c>
      <c r="K346" t="s">
        <v>49</v>
      </c>
      <c r="L346">
        <v>1</v>
      </c>
      <c r="M346">
        <v>0</v>
      </c>
      <c r="N346" t="s">
        <v>164</v>
      </c>
      <c r="O346" t="s">
        <v>73</v>
      </c>
      <c r="P346" t="s">
        <v>34</v>
      </c>
      <c r="Q346" t="s">
        <v>387</v>
      </c>
      <c r="U346" t="str">
        <f t="shared" si="15"/>
        <v>Batting First Won</v>
      </c>
      <c r="X346" t="str">
        <f t="shared" si="16"/>
        <v>Yes</v>
      </c>
      <c r="AA346" t="str">
        <f t="shared" si="17"/>
        <v>2012</v>
      </c>
    </row>
    <row r="347" spans="1:27" x14ac:dyDescent="0.35">
      <c r="A347">
        <v>346</v>
      </c>
      <c r="B347" t="s">
        <v>425</v>
      </c>
      <c r="C347" t="s">
        <v>55</v>
      </c>
      <c r="D347" t="s">
        <v>461</v>
      </c>
      <c r="E347" t="s">
        <v>154</v>
      </c>
      <c r="F347" t="s">
        <v>29</v>
      </c>
      <c r="G347" t="s">
        <v>29</v>
      </c>
      <c r="H347" t="s">
        <v>22</v>
      </c>
      <c r="I347" t="s">
        <v>23</v>
      </c>
      <c r="J347">
        <v>0</v>
      </c>
      <c r="K347" t="s">
        <v>29</v>
      </c>
      <c r="L347">
        <v>0</v>
      </c>
      <c r="M347">
        <v>5</v>
      </c>
      <c r="N347" t="s">
        <v>380</v>
      </c>
      <c r="O347" t="s">
        <v>57</v>
      </c>
      <c r="P347" t="s">
        <v>46</v>
      </c>
      <c r="Q347" t="s">
        <v>436</v>
      </c>
      <c r="U347" t="str">
        <f t="shared" si="15"/>
        <v>Chasing Won</v>
      </c>
      <c r="X347" t="str">
        <f t="shared" si="16"/>
        <v>Yes</v>
      </c>
      <c r="AA347" t="str">
        <f t="shared" si="17"/>
        <v>2012</v>
      </c>
    </row>
    <row r="348" spans="1:27" x14ac:dyDescent="0.35">
      <c r="A348">
        <v>347</v>
      </c>
      <c r="B348" t="s">
        <v>425</v>
      </c>
      <c r="C348" t="s">
        <v>167</v>
      </c>
      <c r="D348" t="s">
        <v>462</v>
      </c>
      <c r="E348" t="s">
        <v>141</v>
      </c>
      <c r="F348" t="s">
        <v>37</v>
      </c>
      <c r="G348" t="s">
        <v>141</v>
      </c>
      <c r="H348" t="s">
        <v>50</v>
      </c>
      <c r="I348" t="s">
        <v>23</v>
      </c>
      <c r="J348">
        <v>0</v>
      </c>
      <c r="K348" t="s">
        <v>37</v>
      </c>
      <c r="L348">
        <v>0</v>
      </c>
      <c r="M348">
        <v>5</v>
      </c>
      <c r="N348" t="s">
        <v>100</v>
      </c>
      <c r="O348" t="s">
        <v>170</v>
      </c>
      <c r="P348" t="s">
        <v>156</v>
      </c>
      <c r="Q348" t="s">
        <v>47</v>
      </c>
      <c r="U348" t="str">
        <f t="shared" si="15"/>
        <v>Chasing Won</v>
      </c>
      <c r="X348" t="str">
        <f t="shared" si="16"/>
        <v>No</v>
      </c>
      <c r="AA348" t="str">
        <f t="shared" si="17"/>
        <v>2012</v>
      </c>
    </row>
    <row r="349" spans="1:27" x14ac:dyDescent="0.35">
      <c r="A349">
        <v>348</v>
      </c>
      <c r="B349" t="s">
        <v>425</v>
      </c>
      <c r="C349" t="s">
        <v>319</v>
      </c>
      <c r="D349" s="1">
        <v>40913</v>
      </c>
      <c r="E349" t="s">
        <v>154</v>
      </c>
      <c r="F349" t="s">
        <v>373</v>
      </c>
      <c r="G349" t="s">
        <v>154</v>
      </c>
      <c r="H349" t="s">
        <v>50</v>
      </c>
      <c r="I349" t="s">
        <v>23</v>
      </c>
      <c r="J349">
        <v>0</v>
      </c>
      <c r="K349" t="s">
        <v>154</v>
      </c>
      <c r="L349">
        <v>13</v>
      </c>
      <c r="M349">
        <v>0</v>
      </c>
      <c r="N349" t="s">
        <v>174</v>
      </c>
      <c r="O349" t="s">
        <v>321</v>
      </c>
      <c r="P349" t="s">
        <v>148</v>
      </c>
      <c r="Q349" t="s">
        <v>46</v>
      </c>
      <c r="U349" t="str">
        <f t="shared" si="15"/>
        <v>Batting First Won</v>
      </c>
      <c r="X349" t="str">
        <f t="shared" si="16"/>
        <v>Yes</v>
      </c>
      <c r="AA349" t="str">
        <f t="shared" si="17"/>
        <v>2012</v>
      </c>
    </row>
    <row r="350" spans="1:27" x14ac:dyDescent="0.35">
      <c r="A350">
        <v>349</v>
      </c>
      <c r="B350" t="s">
        <v>425</v>
      </c>
      <c r="C350" t="s">
        <v>158</v>
      </c>
      <c r="D350" s="1">
        <v>40913</v>
      </c>
      <c r="E350" t="s">
        <v>146</v>
      </c>
      <c r="F350" t="s">
        <v>49</v>
      </c>
      <c r="G350" t="s">
        <v>146</v>
      </c>
      <c r="H350" t="s">
        <v>50</v>
      </c>
      <c r="I350" t="s">
        <v>23</v>
      </c>
      <c r="J350">
        <v>0</v>
      </c>
      <c r="K350" t="s">
        <v>49</v>
      </c>
      <c r="L350">
        <v>0</v>
      </c>
      <c r="M350">
        <v>6</v>
      </c>
      <c r="N350" t="s">
        <v>463</v>
      </c>
      <c r="O350" t="s">
        <v>161</v>
      </c>
      <c r="P350" t="s">
        <v>427</v>
      </c>
      <c r="Q350" t="s">
        <v>244</v>
      </c>
      <c r="U350" t="str">
        <f t="shared" si="15"/>
        <v>Chasing Won</v>
      </c>
      <c r="X350" t="str">
        <f t="shared" si="16"/>
        <v>No</v>
      </c>
      <c r="AA350" t="str">
        <f t="shared" si="17"/>
        <v>2012</v>
      </c>
    </row>
    <row r="351" spans="1:27" x14ac:dyDescent="0.35">
      <c r="A351">
        <v>350</v>
      </c>
      <c r="B351" t="s">
        <v>425</v>
      </c>
      <c r="C351" t="s">
        <v>48</v>
      </c>
      <c r="D351" s="1">
        <v>40944</v>
      </c>
      <c r="E351" t="s">
        <v>21</v>
      </c>
      <c r="F351" t="s">
        <v>43</v>
      </c>
      <c r="G351" t="s">
        <v>43</v>
      </c>
      <c r="H351" t="s">
        <v>22</v>
      </c>
      <c r="I351" t="s">
        <v>23</v>
      </c>
      <c r="J351">
        <v>0</v>
      </c>
      <c r="K351" t="s">
        <v>43</v>
      </c>
      <c r="L351">
        <v>0</v>
      </c>
      <c r="M351">
        <v>4</v>
      </c>
      <c r="N351" t="s">
        <v>464</v>
      </c>
      <c r="O351" t="s">
        <v>52</v>
      </c>
      <c r="P351" t="s">
        <v>156</v>
      </c>
      <c r="Q351" t="s">
        <v>47</v>
      </c>
      <c r="U351" t="str">
        <f t="shared" si="15"/>
        <v>Chasing Won</v>
      </c>
      <c r="X351" t="str">
        <f t="shared" si="16"/>
        <v>Yes</v>
      </c>
      <c r="AA351" t="str">
        <f t="shared" si="17"/>
        <v>2012</v>
      </c>
    </row>
    <row r="352" spans="1:27" x14ac:dyDescent="0.35">
      <c r="A352">
        <v>351</v>
      </c>
      <c r="B352" t="s">
        <v>425</v>
      </c>
      <c r="C352" t="s">
        <v>28</v>
      </c>
      <c r="D352" s="1">
        <v>40973</v>
      </c>
      <c r="E352" t="s">
        <v>29</v>
      </c>
      <c r="F352" t="s">
        <v>373</v>
      </c>
      <c r="G352" t="s">
        <v>29</v>
      </c>
      <c r="H352" t="s">
        <v>50</v>
      </c>
      <c r="I352" t="s">
        <v>23</v>
      </c>
      <c r="J352">
        <v>0</v>
      </c>
      <c r="K352" t="s">
        <v>29</v>
      </c>
      <c r="L352">
        <v>1</v>
      </c>
      <c r="M352">
        <v>0</v>
      </c>
      <c r="N352" t="s">
        <v>337</v>
      </c>
      <c r="O352" t="s">
        <v>434</v>
      </c>
      <c r="P352" t="s">
        <v>138</v>
      </c>
      <c r="Q352" t="s">
        <v>259</v>
      </c>
      <c r="U352" t="str">
        <f t="shared" si="15"/>
        <v>Batting First Won</v>
      </c>
      <c r="X352" t="str">
        <f t="shared" si="16"/>
        <v>Yes</v>
      </c>
      <c r="AA352" t="str">
        <f t="shared" si="17"/>
        <v>2012</v>
      </c>
    </row>
    <row r="353" spans="1:27" x14ac:dyDescent="0.35">
      <c r="A353">
        <v>352</v>
      </c>
      <c r="B353" t="s">
        <v>425</v>
      </c>
      <c r="C353" t="s">
        <v>167</v>
      </c>
      <c r="D353" s="1">
        <v>41004</v>
      </c>
      <c r="E353" t="s">
        <v>141</v>
      </c>
      <c r="F353" t="s">
        <v>154</v>
      </c>
      <c r="G353" t="s">
        <v>141</v>
      </c>
      <c r="H353" t="s">
        <v>50</v>
      </c>
      <c r="I353" t="s">
        <v>23</v>
      </c>
      <c r="J353">
        <v>0</v>
      </c>
      <c r="K353" t="s">
        <v>141</v>
      </c>
      <c r="L353">
        <v>10</v>
      </c>
      <c r="M353">
        <v>0</v>
      </c>
      <c r="N353" t="s">
        <v>90</v>
      </c>
      <c r="O353" t="s">
        <v>170</v>
      </c>
      <c r="P353" t="s">
        <v>256</v>
      </c>
      <c r="Q353" t="s">
        <v>436</v>
      </c>
      <c r="U353" t="str">
        <f t="shared" si="15"/>
        <v>Batting First Won</v>
      </c>
      <c r="X353" t="str">
        <f t="shared" si="16"/>
        <v>Yes</v>
      </c>
      <c r="AA353" t="str">
        <f t="shared" si="17"/>
        <v>2012</v>
      </c>
    </row>
    <row r="354" spans="1:27" x14ac:dyDescent="0.35">
      <c r="A354">
        <v>353</v>
      </c>
      <c r="B354" t="s">
        <v>425</v>
      </c>
      <c r="C354" t="s">
        <v>61</v>
      </c>
      <c r="D354" s="1">
        <v>41034</v>
      </c>
      <c r="E354" t="s">
        <v>37</v>
      </c>
      <c r="F354" t="s">
        <v>373</v>
      </c>
      <c r="G354" t="s">
        <v>37</v>
      </c>
      <c r="H354" t="s">
        <v>50</v>
      </c>
      <c r="I354" t="s">
        <v>23</v>
      </c>
      <c r="J354">
        <v>0</v>
      </c>
      <c r="K354" t="s">
        <v>37</v>
      </c>
      <c r="L354">
        <v>7</v>
      </c>
      <c r="M354">
        <v>0</v>
      </c>
      <c r="N354" t="s">
        <v>63</v>
      </c>
      <c r="O354" t="s">
        <v>64</v>
      </c>
      <c r="P354" t="s">
        <v>156</v>
      </c>
      <c r="Q354" t="s">
        <v>272</v>
      </c>
      <c r="U354" t="str">
        <f t="shared" si="15"/>
        <v>Batting First Won</v>
      </c>
      <c r="X354" t="str">
        <f t="shared" si="16"/>
        <v>Yes</v>
      </c>
      <c r="AA354" t="str">
        <f t="shared" si="17"/>
        <v>2012</v>
      </c>
    </row>
    <row r="355" spans="1:27" x14ac:dyDescent="0.35">
      <c r="A355">
        <v>354</v>
      </c>
      <c r="B355" t="s">
        <v>425</v>
      </c>
      <c r="C355" t="s">
        <v>101</v>
      </c>
      <c r="D355" s="1">
        <v>41034</v>
      </c>
      <c r="E355" t="s">
        <v>146</v>
      </c>
      <c r="F355" t="s">
        <v>43</v>
      </c>
      <c r="G355" t="s">
        <v>146</v>
      </c>
      <c r="H355" t="s">
        <v>50</v>
      </c>
      <c r="I355" t="s">
        <v>23</v>
      </c>
      <c r="J355">
        <v>0</v>
      </c>
      <c r="K355" t="s">
        <v>146</v>
      </c>
      <c r="L355">
        <v>43</v>
      </c>
      <c r="M355">
        <v>0</v>
      </c>
      <c r="N355" t="s">
        <v>160</v>
      </c>
      <c r="O355" t="s">
        <v>143</v>
      </c>
      <c r="P355" t="s">
        <v>427</v>
      </c>
      <c r="Q355" t="s">
        <v>244</v>
      </c>
      <c r="U355" t="str">
        <f t="shared" si="15"/>
        <v>Batting First Won</v>
      </c>
      <c r="X355" t="str">
        <f t="shared" si="16"/>
        <v>Yes</v>
      </c>
      <c r="AA355" t="str">
        <f t="shared" si="17"/>
        <v>2012</v>
      </c>
    </row>
    <row r="356" spans="1:27" x14ac:dyDescent="0.35">
      <c r="A356">
        <v>355</v>
      </c>
      <c r="B356" t="s">
        <v>425</v>
      </c>
      <c r="C356" t="s">
        <v>55</v>
      </c>
      <c r="D356" s="1">
        <v>41065</v>
      </c>
      <c r="E356" t="s">
        <v>141</v>
      </c>
      <c r="F356" t="s">
        <v>29</v>
      </c>
      <c r="G356" t="s">
        <v>29</v>
      </c>
      <c r="H356" t="s">
        <v>22</v>
      </c>
      <c r="I356" t="s">
        <v>23</v>
      </c>
      <c r="J356">
        <v>0</v>
      </c>
      <c r="K356" t="s">
        <v>29</v>
      </c>
      <c r="L356">
        <v>0</v>
      </c>
      <c r="M356">
        <v>2</v>
      </c>
      <c r="N356" t="s">
        <v>116</v>
      </c>
      <c r="O356" t="s">
        <v>57</v>
      </c>
      <c r="P356" t="s">
        <v>138</v>
      </c>
      <c r="Q356" t="s">
        <v>259</v>
      </c>
      <c r="U356" t="str">
        <f t="shared" si="15"/>
        <v>Chasing Won</v>
      </c>
      <c r="X356" t="str">
        <f t="shared" si="16"/>
        <v>Yes</v>
      </c>
      <c r="AA356" t="str">
        <f t="shared" si="17"/>
        <v>2012</v>
      </c>
    </row>
    <row r="357" spans="1:27" x14ac:dyDescent="0.35">
      <c r="A357">
        <v>356</v>
      </c>
      <c r="B357" t="s">
        <v>425</v>
      </c>
      <c r="C357" t="s">
        <v>48</v>
      </c>
      <c r="D357" s="1">
        <v>41065</v>
      </c>
      <c r="E357" t="s">
        <v>154</v>
      </c>
      <c r="F357" t="s">
        <v>21</v>
      </c>
      <c r="G357" t="s">
        <v>21</v>
      </c>
      <c r="H357" t="s">
        <v>22</v>
      </c>
      <c r="I357" t="s">
        <v>23</v>
      </c>
      <c r="J357">
        <v>0</v>
      </c>
      <c r="K357" t="s">
        <v>21</v>
      </c>
      <c r="L357">
        <v>0</v>
      </c>
      <c r="M357">
        <v>5</v>
      </c>
      <c r="N357" t="s">
        <v>250</v>
      </c>
      <c r="O357" t="s">
        <v>52</v>
      </c>
      <c r="P357" t="s">
        <v>256</v>
      </c>
      <c r="Q357" t="s">
        <v>436</v>
      </c>
      <c r="U357" t="str">
        <f t="shared" si="15"/>
        <v>Chasing Won</v>
      </c>
      <c r="X357" t="str">
        <f t="shared" si="16"/>
        <v>Yes</v>
      </c>
      <c r="AA357" t="str">
        <f t="shared" si="17"/>
        <v>2012</v>
      </c>
    </row>
    <row r="358" spans="1:27" x14ac:dyDescent="0.35">
      <c r="A358">
        <v>357</v>
      </c>
      <c r="B358" t="s">
        <v>425</v>
      </c>
      <c r="C358" t="s">
        <v>71</v>
      </c>
      <c r="D358" s="1">
        <v>41095</v>
      </c>
      <c r="E358" t="s">
        <v>49</v>
      </c>
      <c r="F358" t="s">
        <v>37</v>
      </c>
      <c r="G358" t="s">
        <v>49</v>
      </c>
      <c r="H358" t="s">
        <v>50</v>
      </c>
      <c r="I358" t="s">
        <v>23</v>
      </c>
      <c r="J358">
        <v>0</v>
      </c>
      <c r="K358" t="s">
        <v>37</v>
      </c>
      <c r="L358">
        <v>0</v>
      </c>
      <c r="M358">
        <v>6</v>
      </c>
      <c r="N358" t="s">
        <v>276</v>
      </c>
      <c r="O358" t="s">
        <v>73</v>
      </c>
      <c r="P358" t="s">
        <v>427</v>
      </c>
      <c r="Q358" t="s">
        <v>34</v>
      </c>
      <c r="U358" t="str">
        <f t="shared" si="15"/>
        <v>Chasing Won</v>
      </c>
      <c r="X358" t="str">
        <f t="shared" si="16"/>
        <v>No</v>
      </c>
      <c r="AA358" t="str">
        <f t="shared" si="17"/>
        <v>2012</v>
      </c>
    </row>
    <row r="359" spans="1:27" x14ac:dyDescent="0.35">
      <c r="A359">
        <v>358</v>
      </c>
      <c r="B359" t="s">
        <v>425</v>
      </c>
      <c r="C359" t="s">
        <v>28</v>
      </c>
      <c r="D359" s="1">
        <v>41126</v>
      </c>
      <c r="E359" t="s">
        <v>373</v>
      </c>
      <c r="F359" t="s">
        <v>146</v>
      </c>
      <c r="G359" t="s">
        <v>373</v>
      </c>
      <c r="H359" t="s">
        <v>50</v>
      </c>
      <c r="I359" t="s">
        <v>23</v>
      </c>
      <c r="J359">
        <v>0</v>
      </c>
      <c r="K359" t="s">
        <v>146</v>
      </c>
      <c r="L359">
        <v>0</v>
      </c>
      <c r="M359">
        <v>7</v>
      </c>
      <c r="N359" t="s">
        <v>160</v>
      </c>
      <c r="O359" t="s">
        <v>434</v>
      </c>
      <c r="P359" t="s">
        <v>138</v>
      </c>
      <c r="Q359" t="s">
        <v>184</v>
      </c>
      <c r="U359" t="str">
        <f t="shared" si="15"/>
        <v>Chasing Won</v>
      </c>
      <c r="X359" t="str">
        <f t="shared" si="16"/>
        <v>No</v>
      </c>
      <c r="AA359" t="str">
        <f t="shared" si="17"/>
        <v>2012</v>
      </c>
    </row>
    <row r="360" spans="1:27" x14ac:dyDescent="0.35">
      <c r="A360">
        <v>359</v>
      </c>
      <c r="B360" t="s">
        <v>425</v>
      </c>
      <c r="C360" t="s">
        <v>19</v>
      </c>
      <c r="D360" s="1">
        <v>41126</v>
      </c>
      <c r="E360" t="s">
        <v>43</v>
      </c>
      <c r="F360" t="s">
        <v>154</v>
      </c>
      <c r="G360" t="s">
        <v>154</v>
      </c>
      <c r="H360" t="s">
        <v>22</v>
      </c>
      <c r="I360" t="s">
        <v>23</v>
      </c>
      <c r="J360">
        <v>0</v>
      </c>
      <c r="K360" t="s">
        <v>43</v>
      </c>
      <c r="L360">
        <v>25</v>
      </c>
      <c r="M360">
        <v>0</v>
      </c>
      <c r="N360" t="s">
        <v>460</v>
      </c>
      <c r="O360" t="s">
        <v>25</v>
      </c>
      <c r="P360" t="s">
        <v>256</v>
      </c>
      <c r="Q360" t="s">
        <v>436</v>
      </c>
      <c r="U360" t="str">
        <f t="shared" si="15"/>
        <v>Batting First Won</v>
      </c>
      <c r="X360" t="str">
        <f t="shared" si="16"/>
        <v>No</v>
      </c>
      <c r="AA360" t="str">
        <f t="shared" si="17"/>
        <v>2012</v>
      </c>
    </row>
    <row r="361" spans="1:27" x14ac:dyDescent="0.35">
      <c r="A361">
        <v>360</v>
      </c>
      <c r="B361" t="s">
        <v>425</v>
      </c>
      <c r="C361" t="s">
        <v>55</v>
      </c>
      <c r="D361" s="1">
        <v>41157</v>
      </c>
      <c r="E361" t="s">
        <v>29</v>
      </c>
      <c r="F361" t="s">
        <v>21</v>
      </c>
      <c r="G361" t="s">
        <v>21</v>
      </c>
      <c r="H361" t="s">
        <v>22</v>
      </c>
      <c r="I361" t="s">
        <v>23</v>
      </c>
      <c r="J361">
        <v>0</v>
      </c>
      <c r="K361" t="s">
        <v>21</v>
      </c>
      <c r="L361">
        <v>0</v>
      </c>
      <c r="M361">
        <v>9</v>
      </c>
      <c r="N361" t="s">
        <v>81</v>
      </c>
      <c r="O361" t="s">
        <v>57</v>
      </c>
      <c r="P361" t="s">
        <v>156</v>
      </c>
      <c r="Q361" t="s">
        <v>432</v>
      </c>
      <c r="U361" t="str">
        <f t="shared" si="15"/>
        <v>Chasing Won</v>
      </c>
      <c r="X361" t="str">
        <f t="shared" si="16"/>
        <v>Yes</v>
      </c>
      <c r="AA361" t="str">
        <f t="shared" si="17"/>
        <v>2012</v>
      </c>
    </row>
    <row r="362" spans="1:27" x14ac:dyDescent="0.35">
      <c r="A362">
        <v>361</v>
      </c>
      <c r="B362" t="s">
        <v>425</v>
      </c>
      <c r="C362" t="s">
        <v>158</v>
      </c>
      <c r="D362" s="1">
        <v>41187</v>
      </c>
      <c r="E362" t="s">
        <v>146</v>
      </c>
      <c r="F362" t="s">
        <v>141</v>
      </c>
      <c r="G362" t="s">
        <v>141</v>
      </c>
      <c r="H362" t="s">
        <v>22</v>
      </c>
      <c r="I362" t="s">
        <v>23</v>
      </c>
      <c r="J362">
        <v>0</v>
      </c>
      <c r="K362" t="s">
        <v>141</v>
      </c>
      <c r="L362">
        <v>0</v>
      </c>
      <c r="M362">
        <v>4</v>
      </c>
      <c r="N362" t="s">
        <v>465</v>
      </c>
      <c r="O362" t="s">
        <v>161</v>
      </c>
      <c r="P362" t="s">
        <v>436</v>
      </c>
      <c r="Q362" t="s">
        <v>47</v>
      </c>
      <c r="U362" t="str">
        <f t="shared" si="15"/>
        <v>Chasing Won</v>
      </c>
      <c r="X362" t="str">
        <f t="shared" si="16"/>
        <v>Yes</v>
      </c>
      <c r="AA362" t="str">
        <f t="shared" si="17"/>
        <v>2012</v>
      </c>
    </row>
    <row r="363" spans="1:27" x14ac:dyDescent="0.35">
      <c r="A363">
        <v>362</v>
      </c>
      <c r="B363" t="s">
        <v>425</v>
      </c>
      <c r="C363" t="s">
        <v>28</v>
      </c>
      <c r="D363" s="1">
        <v>41218</v>
      </c>
      <c r="E363" t="s">
        <v>21</v>
      </c>
      <c r="F363" t="s">
        <v>373</v>
      </c>
      <c r="G363" t="s">
        <v>373</v>
      </c>
      <c r="H363" t="s">
        <v>22</v>
      </c>
      <c r="I363" t="s">
        <v>23</v>
      </c>
      <c r="J363">
        <v>0</v>
      </c>
      <c r="K363" t="s">
        <v>21</v>
      </c>
      <c r="L363">
        <v>35</v>
      </c>
      <c r="M363">
        <v>0</v>
      </c>
      <c r="N363" t="s">
        <v>81</v>
      </c>
      <c r="O363" t="s">
        <v>434</v>
      </c>
      <c r="P363" t="s">
        <v>156</v>
      </c>
      <c r="Q363" t="s">
        <v>272</v>
      </c>
      <c r="U363" t="str">
        <f t="shared" si="15"/>
        <v>Batting First Won</v>
      </c>
      <c r="X363" t="str">
        <f t="shared" si="16"/>
        <v>No</v>
      </c>
      <c r="AA363" t="str">
        <f t="shared" si="17"/>
        <v>2012</v>
      </c>
    </row>
    <row r="364" spans="1:27" x14ac:dyDescent="0.35">
      <c r="A364">
        <v>363</v>
      </c>
      <c r="B364" t="s">
        <v>425</v>
      </c>
      <c r="C364" t="s">
        <v>61</v>
      </c>
      <c r="D364" s="1">
        <v>41248</v>
      </c>
      <c r="E364" t="s">
        <v>29</v>
      </c>
      <c r="F364" t="s">
        <v>37</v>
      </c>
      <c r="G364" t="s">
        <v>29</v>
      </c>
      <c r="H364" t="s">
        <v>50</v>
      </c>
      <c r="I364" t="s">
        <v>23</v>
      </c>
      <c r="J364">
        <v>0</v>
      </c>
      <c r="K364" t="s">
        <v>29</v>
      </c>
      <c r="L364">
        <v>27</v>
      </c>
      <c r="M364">
        <v>0</v>
      </c>
      <c r="N364" t="s">
        <v>110</v>
      </c>
      <c r="O364" t="s">
        <v>64</v>
      </c>
      <c r="P364" t="s">
        <v>34</v>
      </c>
      <c r="Q364" t="s">
        <v>244</v>
      </c>
      <c r="U364" t="str">
        <f t="shared" si="15"/>
        <v>Batting First Won</v>
      </c>
      <c r="X364" t="str">
        <f t="shared" si="16"/>
        <v>Yes</v>
      </c>
      <c r="AA364" t="str">
        <f t="shared" si="17"/>
        <v>2012</v>
      </c>
    </row>
    <row r="365" spans="1:27" x14ac:dyDescent="0.35">
      <c r="A365">
        <v>364</v>
      </c>
      <c r="B365" t="s">
        <v>425</v>
      </c>
      <c r="C365" t="s">
        <v>167</v>
      </c>
      <c r="D365" s="1">
        <v>41248</v>
      </c>
      <c r="E365" t="s">
        <v>49</v>
      </c>
      <c r="F365" t="s">
        <v>141</v>
      </c>
      <c r="G365" t="s">
        <v>141</v>
      </c>
      <c r="H365" t="s">
        <v>22</v>
      </c>
      <c r="I365" t="s">
        <v>23</v>
      </c>
      <c r="J365">
        <v>0</v>
      </c>
      <c r="K365" t="s">
        <v>141</v>
      </c>
      <c r="L365">
        <v>0</v>
      </c>
      <c r="M365">
        <v>9</v>
      </c>
      <c r="N365" t="s">
        <v>465</v>
      </c>
      <c r="O365" t="s">
        <v>170</v>
      </c>
      <c r="P365" t="s">
        <v>315</v>
      </c>
      <c r="Q365" t="s">
        <v>184</v>
      </c>
      <c r="U365" t="str">
        <f t="shared" si="15"/>
        <v>Chasing Won</v>
      </c>
      <c r="X365" t="str">
        <f t="shared" si="16"/>
        <v>Yes</v>
      </c>
      <c r="AA365" t="str">
        <f t="shared" si="17"/>
        <v>2012</v>
      </c>
    </row>
    <row r="366" spans="1:27" x14ac:dyDescent="0.35">
      <c r="A366">
        <v>365</v>
      </c>
      <c r="B366" t="s">
        <v>425</v>
      </c>
      <c r="C366" t="s">
        <v>158</v>
      </c>
      <c r="D366" t="s">
        <v>466</v>
      </c>
      <c r="E366" t="s">
        <v>146</v>
      </c>
      <c r="F366" t="s">
        <v>373</v>
      </c>
      <c r="G366" t="s">
        <v>146</v>
      </c>
      <c r="H366" t="s">
        <v>50</v>
      </c>
      <c r="I366" t="s">
        <v>23</v>
      </c>
      <c r="J366">
        <v>0</v>
      </c>
      <c r="K366" t="s">
        <v>146</v>
      </c>
      <c r="L366">
        <v>45</v>
      </c>
      <c r="M366">
        <v>0</v>
      </c>
      <c r="N366" t="s">
        <v>467</v>
      </c>
      <c r="O366" t="s">
        <v>161</v>
      </c>
      <c r="P366" t="s">
        <v>156</v>
      </c>
      <c r="Q366" t="s">
        <v>272</v>
      </c>
      <c r="U366" t="str">
        <f t="shared" si="15"/>
        <v>Batting First Won</v>
      </c>
      <c r="X366" t="str">
        <f t="shared" si="16"/>
        <v>Yes</v>
      </c>
      <c r="AA366" t="str">
        <f t="shared" si="17"/>
        <v>2012</v>
      </c>
    </row>
    <row r="367" spans="1:27" x14ac:dyDescent="0.35">
      <c r="A367">
        <v>366</v>
      </c>
      <c r="B367" t="s">
        <v>425</v>
      </c>
      <c r="C367" t="s">
        <v>101</v>
      </c>
      <c r="D367" t="s">
        <v>466</v>
      </c>
      <c r="E367" t="s">
        <v>154</v>
      </c>
      <c r="F367" t="s">
        <v>43</v>
      </c>
      <c r="G367" t="s">
        <v>154</v>
      </c>
      <c r="H367" t="s">
        <v>50</v>
      </c>
      <c r="I367" t="s">
        <v>23</v>
      </c>
      <c r="J367">
        <v>0</v>
      </c>
      <c r="K367" t="s">
        <v>43</v>
      </c>
      <c r="L367">
        <v>0</v>
      </c>
      <c r="M367">
        <v>4</v>
      </c>
      <c r="N367" t="s">
        <v>155</v>
      </c>
      <c r="O367" t="s">
        <v>143</v>
      </c>
      <c r="P367" t="s">
        <v>256</v>
      </c>
      <c r="Q367" t="s">
        <v>436</v>
      </c>
      <c r="U367" t="str">
        <f t="shared" si="15"/>
        <v>Chasing Won</v>
      </c>
      <c r="X367" t="str">
        <f t="shared" si="16"/>
        <v>No</v>
      </c>
      <c r="AA367" t="str">
        <f t="shared" si="17"/>
        <v>2012</v>
      </c>
    </row>
    <row r="368" spans="1:27" x14ac:dyDescent="0.35">
      <c r="A368">
        <v>367</v>
      </c>
      <c r="B368" t="s">
        <v>425</v>
      </c>
      <c r="C368" t="s">
        <v>48</v>
      </c>
      <c r="D368" t="s">
        <v>468</v>
      </c>
      <c r="E368" t="s">
        <v>21</v>
      </c>
      <c r="F368" t="s">
        <v>29</v>
      </c>
      <c r="G368" t="s">
        <v>29</v>
      </c>
      <c r="H368" t="s">
        <v>22</v>
      </c>
      <c r="I368" t="s">
        <v>23</v>
      </c>
      <c r="J368">
        <v>0</v>
      </c>
      <c r="K368" t="s">
        <v>29</v>
      </c>
      <c r="L368">
        <v>0</v>
      </c>
      <c r="M368">
        <v>5</v>
      </c>
      <c r="N368" t="s">
        <v>126</v>
      </c>
      <c r="O368" t="s">
        <v>52</v>
      </c>
      <c r="P368" t="s">
        <v>315</v>
      </c>
      <c r="Q368" t="s">
        <v>184</v>
      </c>
      <c r="U368" t="str">
        <f t="shared" si="15"/>
        <v>Chasing Won</v>
      </c>
      <c r="X368" t="str">
        <f t="shared" si="16"/>
        <v>Yes</v>
      </c>
      <c r="AA368" t="str">
        <f t="shared" si="17"/>
        <v>2012</v>
      </c>
    </row>
    <row r="369" spans="1:27" x14ac:dyDescent="0.35">
      <c r="A369">
        <v>368</v>
      </c>
      <c r="B369" t="s">
        <v>425</v>
      </c>
      <c r="C369" t="s">
        <v>61</v>
      </c>
      <c r="D369" t="s">
        <v>468</v>
      </c>
      <c r="E369" t="s">
        <v>37</v>
      </c>
      <c r="F369" t="s">
        <v>141</v>
      </c>
      <c r="G369" t="s">
        <v>141</v>
      </c>
      <c r="H369" t="s">
        <v>22</v>
      </c>
      <c r="I369" t="s">
        <v>23</v>
      </c>
      <c r="J369">
        <v>0</v>
      </c>
      <c r="K369" t="s">
        <v>141</v>
      </c>
      <c r="L369">
        <v>0</v>
      </c>
      <c r="M369">
        <v>5</v>
      </c>
      <c r="N369" t="s">
        <v>142</v>
      </c>
      <c r="O369" t="s">
        <v>64</v>
      </c>
      <c r="P369" t="s">
        <v>427</v>
      </c>
      <c r="Q369" t="s">
        <v>244</v>
      </c>
      <c r="U369" t="str">
        <f t="shared" si="15"/>
        <v>Chasing Won</v>
      </c>
      <c r="X369" t="str">
        <f t="shared" si="16"/>
        <v>Yes</v>
      </c>
      <c r="AA369" t="str">
        <f t="shared" si="17"/>
        <v>2012</v>
      </c>
    </row>
    <row r="370" spans="1:27" x14ac:dyDescent="0.35">
      <c r="A370">
        <v>369</v>
      </c>
      <c r="B370" t="s">
        <v>425</v>
      </c>
      <c r="C370" t="s">
        <v>71</v>
      </c>
      <c r="D370" t="s">
        <v>469</v>
      </c>
      <c r="E370" t="s">
        <v>43</v>
      </c>
      <c r="F370" t="s">
        <v>49</v>
      </c>
      <c r="G370" t="s">
        <v>43</v>
      </c>
      <c r="H370" t="s">
        <v>50</v>
      </c>
      <c r="I370" t="s">
        <v>23</v>
      </c>
      <c r="J370">
        <v>0</v>
      </c>
      <c r="K370" t="s">
        <v>49</v>
      </c>
      <c r="L370">
        <v>0</v>
      </c>
      <c r="M370">
        <v>5</v>
      </c>
      <c r="N370" t="s">
        <v>470</v>
      </c>
      <c r="O370" t="s">
        <v>73</v>
      </c>
      <c r="P370" t="s">
        <v>256</v>
      </c>
      <c r="Q370" t="s">
        <v>436</v>
      </c>
      <c r="U370" t="str">
        <f t="shared" si="15"/>
        <v>Chasing Won</v>
      </c>
      <c r="X370" t="str">
        <f t="shared" si="16"/>
        <v>No</v>
      </c>
      <c r="AA370" t="str">
        <f t="shared" si="17"/>
        <v>2012</v>
      </c>
    </row>
    <row r="371" spans="1:27" x14ac:dyDescent="0.35">
      <c r="A371">
        <v>370</v>
      </c>
      <c r="B371" t="s">
        <v>425</v>
      </c>
      <c r="C371" t="s">
        <v>55</v>
      </c>
      <c r="D371" t="s">
        <v>471</v>
      </c>
      <c r="E371" t="s">
        <v>37</v>
      </c>
      <c r="F371" t="s">
        <v>29</v>
      </c>
      <c r="G371" t="s">
        <v>29</v>
      </c>
      <c r="H371" t="s">
        <v>22</v>
      </c>
      <c r="I371" t="s">
        <v>23</v>
      </c>
      <c r="J371">
        <v>0</v>
      </c>
      <c r="K371" t="s">
        <v>37</v>
      </c>
      <c r="L371">
        <v>32</v>
      </c>
      <c r="M371">
        <v>0</v>
      </c>
      <c r="N371" t="s">
        <v>63</v>
      </c>
      <c r="O371" t="s">
        <v>57</v>
      </c>
      <c r="P371" t="s">
        <v>315</v>
      </c>
      <c r="Q371" t="s">
        <v>184</v>
      </c>
      <c r="U371" t="str">
        <f t="shared" si="15"/>
        <v>Batting First Won</v>
      </c>
      <c r="X371" t="str">
        <f t="shared" si="16"/>
        <v>No</v>
      </c>
      <c r="AA371" t="str">
        <f t="shared" si="17"/>
        <v>2012</v>
      </c>
    </row>
    <row r="372" spans="1:27" x14ac:dyDescent="0.35">
      <c r="A372">
        <v>371</v>
      </c>
      <c r="B372" t="s">
        <v>425</v>
      </c>
      <c r="C372" t="s">
        <v>353</v>
      </c>
      <c r="D372" t="s">
        <v>472</v>
      </c>
      <c r="E372" t="s">
        <v>141</v>
      </c>
      <c r="F372" t="s">
        <v>43</v>
      </c>
      <c r="G372" t="s">
        <v>43</v>
      </c>
      <c r="H372" t="s">
        <v>22</v>
      </c>
      <c r="I372" t="s">
        <v>23</v>
      </c>
      <c r="J372">
        <v>0</v>
      </c>
      <c r="K372" t="s">
        <v>43</v>
      </c>
      <c r="L372">
        <v>0</v>
      </c>
      <c r="M372">
        <v>6</v>
      </c>
      <c r="N372" t="s">
        <v>179</v>
      </c>
      <c r="O372" t="s">
        <v>355</v>
      </c>
      <c r="P372" t="s">
        <v>432</v>
      </c>
      <c r="Q372" t="s">
        <v>272</v>
      </c>
      <c r="U372" t="str">
        <f t="shared" si="15"/>
        <v>Chasing Won</v>
      </c>
      <c r="X372" t="str">
        <f t="shared" si="16"/>
        <v>Yes</v>
      </c>
      <c r="AA372" t="str">
        <f t="shared" si="17"/>
        <v>2012</v>
      </c>
    </row>
    <row r="373" spans="1:27" x14ac:dyDescent="0.35">
      <c r="A373">
        <v>372</v>
      </c>
      <c r="B373" t="s">
        <v>425</v>
      </c>
      <c r="C373" t="s">
        <v>71</v>
      </c>
      <c r="D373" t="s">
        <v>472</v>
      </c>
      <c r="E373" t="s">
        <v>21</v>
      </c>
      <c r="F373" t="s">
        <v>49</v>
      </c>
      <c r="G373" t="s">
        <v>49</v>
      </c>
      <c r="H373" t="s">
        <v>22</v>
      </c>
      <c r="I373" t="s">
        <v>23</v>
      </c>
      <c r="J373">
        <v>0</v>
      </c>
      <c r="K373" t="s">
        <v>21</v>
      </c>
      <c r="L373">
        <v>21</v>
      </c>
      <c r="M373">
        <v>0</v>
      </c>
      <c r="N373" t="s">
        <v>81</v>
      </c>
      <c r="O373" t="s">
        <v>73</v>
      </c>
      <c r="P373" t="s">
        <v>256</v>
      </c>
      <c r="Q373" t="s">
        <v>47</v>
      </c>
      <c r="U373" t="str">
        <f t="shared" si="15"/>
        <v>Batting First Won</v>
      </c>
      <c r="X373" t="str">
        <f t="shared" si="16"/>
        <v>No</v>
      </c>
      <c r="AA373" t="str">
        <f t="shared" si="17"/>
        <v>2012</v>
      </c>
    </row>
    <row r="374" spans="1:27" x14ac:dyDescent="0.35">
      <c r="A374">
        <v>373</v>
      </c>
      <c r="B374" t="s">
        <v>425</v>
      </c>
      <c r="C374" t="s">
        <v>19</v>
      </c>
      <c r="D374" t="s">
        <v>473</v>
      </c>
      <c r="E374" t="s">
        <v>146</v>
      </c>
      <c r="F374" t="s">
        <v>154</v>
      </c>
      <c r="G374" t="s">
        <v>146</v>
      </c>
      <c r="H374" t="s">
        <v>50</v>
      </c>
      <c r="I374" t="s">
        <v>23</v>
      </c>
      <c r="J374">
        <v>0</v>
      </c>
      <c r="K374" t="s">
        <v>154</v>
      </c>
      <c r="L374">
        <v>0</v>
      </c>
      <c r="M374">
        <v>5</v>
      </c>
      <c r="N374" t="s">
        <v>380</v>
      </c>
      <c r="O374" t="s">
        <v>25</v>
      </c>
      <c r="P374" t="s">
        <v>34</v>
      </c>
      <c r="Q374" t="s">
        <v>244</v>
      </c>
      <c r="U374" t="str">
        <f t="shared" si="15"/>
        <v>Chasing Won</v>
      </c>
      <c r="X374" t="str">
        <f t="shared" si="16"/>
        <v>No</v>
      </c>
      <c r="AA374" t="str">
        <f t="shared" si="17"/>
        <v>2012</v>
      </c>
    </row>
    <row r="375" spans="1:27" x14ac:dyDescent="0.35">
      <c r="A375">
        <v>374</v>
      </c>
      <c r="B375" t="s">
        <v>425</v>
      </c>
      <c r="C375" t="s">
        <v>353</v>
      </c>
      <c r="D375" t="s">
        <v>474</v>
      </c>
      <c r="E375" t="s">
        <v>43</v>
      </c>
      <c r="F375" t="s">
        <v>49</v>
      </c>
      <c r="G375" t="s">
        <v>49</v>
      </c>
      <c r="H375" t="s">
        <v>22</v>
      </c>
      <c r="I375" t="s">
        <v>23</v>
      </c>
      <c r="J375">
        <v>0</v>
      </c>
      <c r="K375" t="s">
        <v>49</v>
      </c>
      <c r="L375">
        <v>0</v>
      </c>
      <c r="M375">
        <v>6</v>
      </c>
      <c r="N375" t="s">
        <v>470</v>
      </c>
      <c r="O375" t="s">
        <v>355</v>
      </c>
      <c r="P375" t="s">
        <v>156</v>
      </c>
      <c r="Q375" t="s">
        <v>432</v>
      </c>
      <c r="U375" t="str">
        <f t="shared" si="15"/>
        <v>Chasing Won</v>
      </c>
      <c r="X375" t="str">
        <f t="shared" si="16"/>
        <v>Yes</v>
      </c>
      <c r="AA375" t="str">
        <f t="shared" si="17"/>
        <v>2012</v>
      </c>
    </row>
    <row r="376" spans="1:27" x14ac:dyDescent="0.35">
      <c r="A376">
        <v>375</v>
      </c>
      <c r="B376" t="s">
        <v>425</v>
      </c>
      <c r="C376" t="s">
        <v>28</v>
      </c>
      <c r="D376" t="s">
        <v>474</v>
      </c>
      <c r="E376" t="s">
        <v>37</v>
      </c>
      <c r="F376" t="s">
        <v>373</v>
      </c>
      <c r="G376" t="s">
        <v>37</v>
      </c>
      <c r="H376" t="s">
        <v>50</v>
      </c>
      <c r="I376" t="s">
        <v>23</v>
      </c>
      <c r="J376">
        <v>0</v>
      </c>
      <c r="K376" t="s">
        <v>37</v>
      </c>
      <c r="L376">
        <v>34</v>
      </c>
      <c r="M376">
        <v>0</v>
      </c>
      <c r="N376" t="s">
        <v>440</v>
      </c>
      <c r="O376" t="s">
        <v>434</v>
      </c>
      <c r="P376" t="s">
        <v>259</v>
      </c>
      <c r="Q376" t="s">
        <v>184</v>
      </c>
      <c r="U376" t="str">
        <f t="shared" si="15"/>
        <v>Batting First Won</v>
      </c>
      <c r="X376" t="str">
        <f t="shared" si="16"/>
        <v>Yes</v>
      </c>
      <c r="AA376" t="str">
        <f t="shared" si="17"/>
        <v>2012</v>
      </c>
    </row>
    <row r="377" spans="1:27" x14ac:dyDescent="0.35">
      <c r="A377">
        <v>376</v>
      </c>
      <c r="B377" t="s">
        <v>425</v>
      </c>
      <c r="C377" t="s">
        <v>19</v>
      </c>
      <c r="D377" t="s">
        <v>475</v>
      </c>
      <c r="E377" t="s">
        <v>154</v>
      </c>
      <c r="F377" t="s">
        <v>21</v>
      </c>
      <c r="G377" t="s">
        <v>21</v>
      </c>
      <c r="H377" t="s">
        <v>22</v>
      </c>
      <c r="I377" t="s">
        <v>23</v>
      </c>
      <c r="J377">
        <v>0</v>
      </c>
      <c r="K377" t="s">
        <v>154</v>
      </c>
      <c r="L377">
        <v>9</v>
      </c>
      <c r="M377">
        <v>0</v>
      </c>
      <c r="N377" t="s">
        <v>380</v>
      </c>
      <c r="O377" t="s">
        <v>25</v>
      </c>
      <c r="P377" t="s">
        <v>34</v>
      </c>
      <c r="Q377" t="s">
        <v>244</v>
      </c>
      <c r="U377" t="str">
        <f t="shared" si="15"/>
        <v>Batting First Won</v>
      </c>
      <c r="X377" t="str">
        <f t="shared" si="16"/>
        <v>No</v>
      </c>
      <c r="AA377" t="str">
        <f t="shared" si="17"/>
        <v>2012</v>
      </c>
    </row>
    <row r="378" spans="1:27" x14ac:dyDescent="0.35">
      <c r="A378">
        <v>377</v>
      </c>
      <c r="B378" t="s">
        <v>425</v>
      </c>
      <c r="C378" t="s">
        <v>158</v>
      </c>
      <c r="D378" t="s">
        <v>475</v>
      </c>
      <c r="E378" t="s">
        <v>146</v>
      </c>
      <c r="F378" t="s">
        <v>29</v>
      </c>
      <c r="G378" t="s">
        <v>146</v>
      </c>
      <c r="H378" t="s">
        <v>50</v>
      </c>
      <c r="I378" t="s">
        <v>23</v>
      </c>
      <c r="J378">
        <v>0</v>
      </c>
      <c r="K378" t="s">
        <v>29</v>
      </c>
      <c r="L378">
        <v>0</v>
      </c>
      <c r="M378">
        <v>10</v>
      </c>
      <c r="N378" t="s">
        <v>116</v>
      </c>
      <c r="O378" t="s">
        <v>161</v>
      </c>
      <c r="P378" t="s">
        <v>256</v>
      </c>
      <c r="Q378" t="s">
        <v>47</v>
      </c>
      <c r="U378" t="str">
        <f t="shared" si="15"/>
        <v>Chasing Won</v>
      </c>
      <c r="X378" t="str">
        <f t="shared" si="16"/>
        <v>No</v>
      </c>
      <c r="AA378" t="str">
        <f t="shared" si="17"/>
        <v>2012</v>
      </c>
    </row>
    <row r="379" spans="1:27" x14ac:dyDescent="0.35">
      <c r="A379">
        <v>378</v>
      </c>
      <c r="B379" t="s">
        <v>425</v>
      </c>
      <c r="C379" t="s">
        <v>28</v>
      </c>
      <c r="D379" t="s">
        <v>476</v>
      </c>
      <c r="E379" t="s">
        <v>37</v>
      </c>
      <c r="F379" t="s">
        <v>49</v>
      </c>
      <c r="G379" t="s">
        <v>37</v>
      </c>
      <c r="H379" t="s">
        <v>50</v>
      </c>
      <c r="I379" t="s">
        <v>23</v>
      </c>
      <c r="J379">
        <v>0</v>
      </c>
      <c r="K379" t="s">
        <v>37</v>
      </c>
      <c r="L379">
        <v>18</v>
      </c>
      <c r="M379">
        <v>0</v>
      </c>
      <c r="N379" t="s">
        <v>172</v>
      </c>
      <c r="O379" t="s">
        <v>434</v>
      </c>
      <c r="P379" t="s">
        <v>184</v>
      </c>
      <c r="Q379" t="s">
        <v>244</v>
      </c>
      <c r="U379" t="str">
        <f t="shared" si="15"/>
        <v>Batting First Won</v>
      </c>
      <c r="X379" t="str">
        <f t="shared" si="16"/>
        <v>Yes</v>
      </c>
      <c r="AA379" t="str">
        <f t="shared" si="17"/>
        <v>2012</v>
      </c>
    </row>
    <row r="380" spans="1:27" x14ac:dyDescent="0.35">
      <c r="A380">
        <v>379</v>
      </c>
      <c r="B380" t="s">
        <v>425</v>
      </c>
      <c r="C380" t="s">
        <v>48</v>
      </c>
      <c r="D380" t="s">
        <v>477</v>
      </c>
      <c r="E380" t="s">
        <v>141</v>
      </c>
      <c r="F380" t="s">
        <v>29</v>
      </c>
      <c r="G380" t="s">
        <v>29</v>
      </c>
      <c r="H380" t="s">
        <v>22</v>
      </c>
      <c r="I380" t="s">
        <v>23</v>
      </c>
      <c r="J380">
        <v>0</v>
      </c>
      <c r="K380" t="s">
        <v>141</v>
      </c>
      <c r="L380">
        <v>38</v>
      </c>
      <c r="M380">
        <v>0</v>
      </c>
      <c r="N380" t="s">
        <v>93</v>
      </c>
      <c r="O380" t="s">
        <v>52</v>
      </c>
      <c r="P380" t="s">
        <v>156</v>
      </c>
      <c r="Q380" t="s">
        <v>256</v>
      </c>
      <c r="U380" t="str">
        <f t="shared" si="15"/>
        <v>Batting First Won</v>
      </c>
      <c r="X380" t="str">
        <f t="shared" si="16"/>
        <v>No</v>
      </c>
      <c r="AA380" t="str">
        <f t="shared" si="17"/>
        <v>2012</v>
      </c>
    </row>
    <row r="381" spans="1:27" x14ac:dyDescent="0.35">
      <c r="A381">
        <v>380</v>
      </c>
      <c r="B381" t="s">
        <v>425</v>
      </c>
      <c r="C381" t="s">
        <v>167</v>
      </c>
      <c r="D381" t="s">
        <v>478</v>
      </c>
      <c r="E381" t="s">
        <v>141</v>
      </c>
      <c r="F381" t="s">
        <v>49</v>
      </c>
      <c r="G381" t="s">
        <v>49</v>
      </c>
      <c r="H381" t="s">
        <v>22</v>
      </c>
      <c r="I381" t="s">
        <v>23</v>
      </c>
      <c r="J381">
        <v>0</v>
      </c>
      <c r="K381" t="s">
        <v>141</v>
      </c>
      <c r="L381">
        <v>86</v>
      </c>
      <c r="M381">
        <v>0</v>
      </c>
      <c r="N381" t="s">
        <v>339</v>
      </c>
      <c r="O381" t="s">
        <v>170</v>
      </c>
      <c r="P381" t="s">
        <v>184</v>
      </c>
      <c r="Q381" t="s">
        <v>244</v>
      </c>
      <c r="U381" t="str">
        <f t="shared" si="15"/>
        <v>Batting First Won</v>
      </c>
      <c r="X381" t="str">
        <f t="shared" si="16"/>
        <v>No</v>
      </c>
      <c r="AA381" t="str">
        <f t="shared" si="17"/>
        <v>2012</v>
      </c>
    </row>
    <row r="382" spans="1:27" x14ac:dyDescent="0.35">
      <c r="A382">
        <v>381</v>
      </c>
      <c r="B382" t="s">
        <v>425</v>
      </c>
      <c r="C382" t="s">
        <v>167</v>
      </c>
      <c r="D382" t="s">
        <v>479</v>
      </c>
      <c r="E382" t="s">
        <v>141</v>
      </c>
      <c r="F382" t="s">
        <v>37</v>
      </c>
      <c r="G382" t="s">
        <v>141</v>
      </c>
      <c r="H382" t="s">
        <v>50</v>
      </c>
      <c r="I382" t="s">
        <v>23</v>
      </c>
      <c r="J382">
        <v>0</v>
      </c>
      <c r="K382" t="s">
        <v>37</v>
      </c>
      <c r="L382">
        <v>0</v>
      </c>
      <c r="M382">
        <v>5</v>
      </c>
      <c r="N382" t="s">
        <v>480</v>
      </c>
      <c r="O382" t="s">
        <v>170</v>
      </c>
      <c r="P382" t="s">
        <v>156</v>
      </c>
      <c r="Q382" t="s">
        <v>244</v>
      </c>
      <c r="U382" t="str">
        <f t="shared" si="15"/>
        <v>Chasing Won</v>
      </c>
      <c r="X382" t="str">
        <f t="shared" si="16"/>
        <v>No</v>
      </c>
      <c r="AA382" t="str">
        <f t="shared" si="17"/>
        <v>2012</v>
      </c>
    </row>
    <row r="383" spans="1:27" x14ac:dyDescent="0.35">
      <c r="A383">
        <v>382</v>
      </c>
      <c r="B383" t="s">
        <v>481</v>
      </c>
      <c r="C383" t="s">
        <v>61</v>
      </c>
      <c r="D383" s="1">
        <v>41337</v>
      </c>
      <c r="E383" t="s">
        <v>49</v>
      </c>
      <c r="F383" t="s">
        <v>37</v>
      </c>
      <c r="G383" t="s">
        <v>37</v>
      </c>
      <c r="H383" t="s">
        <v>22</v>
      </c>
      <c r="I383" t="s">
        <v>23</v>
      </c>
      <c r="J383">
        <v>0</v>
      </c>
      <c r="K383" t="s">
        <v>37</v>
      </c>
      <c r="L383">
        <v>0</v>
      </c>
      <c r="M383">
        <v>6</v>
      </c>
      <c r="N383" t="s">
        <v>63</v>
      </c>
      <c r="O383" t="s">
        <v>64</v>
      </c>
      <c r="P383" t="s">
        <v>34</v>
      </c>
      <c r="Q383" t="s">
        <v>244</v>
      </c>
      <c r="U383" t="str">
        <f t="shared" si="15"/>
        <v>Chasing Won</v>
      </c>
      <c r="X383" t="str">
        <f t="shared" si="16"/>
        <v>Yes</v>
      </c>
      <c r="AA383" t="str">
        <f t="shared" si="17"/>
        <v>2013</v>
      </c>
    </row>
    <row r="384" spans="1:27" x14ac:dyDescent="0.35">
      <c r="A384">
        <v>383</v>
      </c>
      <c r="B384" t="s">
        <v>481</v>
      </c>
      <c r="C384" t="s">
        <v>48</v>
      </c>
      <c r="D384" s="1">
        <v>41368</v>
      </c>
      <c r="E384" t="s">
        <v>21</v>
      </c>
      <c r="F384" t="s">
        <v>29</v>
      </c>
      <c r="G384" t="s">
        <v>29</v>
      </c>
      <c r="H384" t="s">
        <v>22</v>
      </c>
      <c r="I384" t="s">
        <v>23</v>
      </c>
      <c r="J384">
        <v>0</v>
      </c>
      <c r="K384" t="s">
        <v>21</v>
      </c>
      <c r="L384">
        <v>2</v>
      </c>
      <c r="M384">
        <v>0</v>
      </c>
      <c r="N384" t="s">
        <v>81</v>
      </c>
      <c r="O384" t="s">
        <v>52</v>
      </c>
      <c r="P384" t="s">
        <v>432</v>
      </c>
      <c r="Q384" t="s">
        <v>47</v>
      </c>
      <c r="U384" t="str">
        <f t="shared" si="15"/>
        <v>Batting First Won</v>
      </c>
      <c r="X384" t="str">
        <f t="shared" si="16"/>
        <v>No</v>
      </c>
      <c r="AA384" t="str">
        <f t="shared" si="17"/>
        <v>2013</v>
      </c>
    </row>
    <row r="385" spans="1:27" x14ac:dyDescent="0.35">
      <c r="A385">
        <v>384</v>
      </c>
      <c r="B385" t="s">
        <v>481</v>
      </c>
      <c r="C385" t="s">
        <v>19</v>
      </c>
      <c r="D385" s="1">
        <v>41398</v>
      </c>
      <c r="E385" t="s">
        <v>20</v>
      </c>
      <c r="F385" t="s">
        <v>373</v>
      </c>
      <c r="G385" t="s">
        <v>373</v>
      </c>
      <c r="H385" t="s">
        <v>22</v>
      </c>
      <c r="I385" t="s">
        <v>23</v>
      </c>
      <c r="J385">
        <v>0</v>
      </c>
      <c r="K385" t="s">
        <v>20</v>
      </c>
      <c r="L385">
        <v>22</v>
      </c>
      <c r="M385">
        <v>0</v>
      </c>
      <c r="N385" t="s">
        <v>207</v>
      </c>
      <c r="O385" t="s">
        <v>25</v>
      </c>
      <c r="P385" t="s">
        <v>34</v>
      </c>
      <c r="Q385" t="s">
        <v>244</v>
      </c>
      <c r="U385" t="str">
        <f t="shared" si="15"/>
        <v>Batting First Won</v>
      </c>
      <c r="X385" t="str">
        <f t="shared" si="16"/>
        <v>No</v>
      </c>
      <c r="AA385" t="str">
        <f t="shared" si="17"/>
        <v>2013</v>
      </c>
    </row>
    <row r="386" spans="1:27" x14ac:dyDescent="0.35">
      <c r="A386">
        <v>385</v>
      </c>
      <c r="B386" t="s">
        <v>481</v>
      </c>
      <c r="C386" t="s">
        <v>71</v>
      </c>
      <c r="D386" s="1">
        <v>41429</v>
      </c>
      <c r="E386" t="s">
        <v>146</v>
      </c>
      <c r="F386" t="s">
        <v>49</v>
      </c>
      <c r="G386" t="s">
        <v>146</v>
      </c>
      <c r="H386" t="s">
        <v>50</v>
      </c>
      <c r="I386" t="s">
        <v>23</v>
      </c>
      <c r="J386">
        <v>0</v>
      </c>
      <c r="K386" t="s">
        <v>146</v>
      </c>
      <c r="L386">
        <v>5</v>
      </c>
      <c r="M386">
        <v>0</v>
      </c>
      <c r="N386" t="s">
        <v>235</v>
      </c>
      <c r="O386" t="s">
        <v>73</v>
      </c>
      <c r="P386" t="s">
        <v>315</v>
      </c>
      <c r="Q386" t="s">
        <v>47</v>
      </c>
      <c r="U386" t="str">
        <f t="shared" si="15"/>
        <v>Batting First Won</v>
      </c>
      <c r="X386" t="str">
        <f t="shared" si="16"/>
        <v>Yes</v>
      </c>
      <c r="AA386" t="str">
        <f t="shared" si="17"/>
        <v>2013</v>
      </c>
    </row>
    <row r="387" spans="1:27" x14ac:dyDescent="0.35">
      <c r="A387">
        <v>386</v>
      </c>
      <c r="B387" t="s">
        <v>481</v>
      </c>
      <c r="C387" t="s">
        <v>167</v>
      </c>
      <c r="D387" s="1">
        <v>41429</v>
      </c>
      <c r="E387" t="s">
        <v>29</v>
      </c>
      <c r="F387" t="s">
        <v>141</v>
      </c>
      <c r="G387" t="s">
        <v>29</v>
      </c>
      <c r="H387" t="s">
        <v>50</v>
      </c>
      <c r="I387" t="s">
        <v>23</v>
      </c>
      <c r="J387">
        <v>0</v>
      </c>
      <c r="K387" t="s">
        <v>29</v>
      </c>
      <c r="L387">
        <v>9</v>
      </c>
      <c r="M387">
        <v>0</v>
      </c>
      <c r="N387" t="s">
        <v>66</v>
      </c>
      <c r="O387" t="s">
        <v>170</v>
      </c>
      <c r="P387" t="s">
        <v>88</v>
      </c>
      <c r="Q387" t="s">
        <v>432</v>
      </c>
      <c r="U387" t="str">
        <f t="shared" ref="U387:U450" si="18">IF(L387&gt;0,"Batting First Won","Chasing Won")</f>
        <v>Batting First Won</v>
      </c>
      <c r="X387" t="str">
        <f t="shared" ref="X387:X450" si="19">IF(G387=K387,"Yes","No")</f>
        <v>Yes</v>
      </c>
      <c r="AA387" t="str">
        <f t="shared" ref="AA387:AA450" si="20">RIGHT(B387,4)</f>
        <v>2013</v>
      </c>
    </row>
    <row r="388" spans="1:27" x14ac:dyDescent="0.35">
      <c r="A388">
        <v>387</v>
      </c>
      <c r="B388" t="s">
        <v>481</v>
      </c>
      <c r="C388" t="s">
        <v>28</v>
      </c>
      <c r="D388" s="1">
        <v>41459</v>
      </c>
      <c r="E388" t="s">
        <v>373</v>
      </c>
      <c r="F388" t="s">
        <v>43</v>
      </c>
      <c r="G388" t="s">
        <v>373</v>
      </c>
      <c r="H388" t="s">
        <v>50</v>
      </c>
      <c r="I388" t="s">
        <v>23</v>
      </c>
      <c r="J388">
        <v>0</v>
      </c>
      <c r="K388" t="s">
        <v>43</v>
      </c>
      <c r="L388">
        <v>0</v>
      </c>
      <c r="M388">
        <v>8</v>
      </c>
      <c r="N388" t="s">
        <v>482</v>
      </c>
      <c r="O388" t="s">
        <v>434</v>
      </c>
      <c r="P388" t="s">
        <v>259</v>
      </c>
      <c r="Q388" t="s">
        <v>244</v>
      </c>
      <c r="U388" t="str">
        <f t="shared" si="18"/>
        <v>Chasing Won</v>
      </c>
      <c r="X388" t="str">
        <f t="shared" si="19"/>
        <v>No</v>
      </c>
      <c r="AA388" t="str">
        <f t="shared" si="20"/>
        <v>2013</v>
      </c>
    </row>
    <row r="389" spans="1:27" x14ac:dyDescent="0.35">
      <c r="A389">
        <v>388</v>
      </c>
      <c r="B389" t="s">
        <v>481</v>
      </c>
      <c r="C389" t="s">
        <v>19</v>
      </c>
      <c r="D389" s="1">
        <v>41459</v>
      </c>
      <c r="E389" t="s">
        <v>21</v>
      </c>
      <c r="F389" t="s">
        <v>20</v>
      </c>
      <c r="G389" t="s">
        <v>21</v>
      </c>
      <c r="H389" t="s">
        <v>50</v>
      </c>
      <c r="I389" t="s">
        <v>105</v>
      </c>
      <c r="J389">
        <v>0</v>
      </c>
      <c r="K389" t="s">
        <v>20</v>
      </c>
      <c r="L389">
        <v>0</v>
      </c>
      <c r="M389">
        <v>0</v>
      </c>
      <c r="N389" t="s">
        <v>483</v>
      </c>
      <c r="O389" t="s">
        <v>25</v>
      </c>
      <c r="P389" t="s">
        <v>46</v>
      </c>
      <c r="Q389" t="s">
        <v>34</v>
      </c>
      <c r="U389" t="str">
        <f t="shared" si="18"/>
        <v>Chasing Won</v>
      </c>
      <c r="X389" t="str">
        <f t="shared" si="19"/>
        <v>No</v>
      </c>
      <c r="AA389" t="str">
        <f t="shared" si="20"/>
        <v>2013</v>
      </c>
    </row>
    <row r="390" spans="1:27" x14ac:dyDescent="0.35">
      <c r="A390">
        <v>389</v>
      </c>
      <c r="B390" t="s">
        <v>481</v>
      </c>
      <c r="C390" t="s">
        <v>158</v>
      </c>
      <c r="D390" s="1">
        <v>41490</v>
      </c>
      <c r="E390" t="s">
        <v>146</v>
      </c>
      <c r="F390" t="s">
        <v>37</v>
      </c>
      <c r="G390" t="s">
        <v>37</v>
      </c>
      <c r="H390" t="s">
        <v>22</v>
      </c>
      <c r="I390" t="s">
        <v>23</v>
      </c>
      <c r="J390">
        <v>0</v>
      </c>
      <c r="K390" t="s">
        <v>146</v>
      </c>
      <c r="L390">
        <v>19</v>
      </c>
      <c r="M390">
        <v>0</v>
      </c>
      <c r="N390" t="s">
        <v>369</v>
      </c>
      <c r="O390" t="s">
        <v>161</v>
      </c>
      <c r="P390" t="s">
        <v>148</v>
      </c>
      <c r="Q390" t="s">
        <v>315</v>
      </c>
      <c r="U390" t="str">
        <f t="shared" si="18"/>
        <v>Batting First Won</v>
      </c>
      <c r="X390" t="str">
        <f t="shared" si="19"/>
        <v>No</v>
      </c>
      <c r="AA390" t="str">
        <f t="shared" si="20"/>
        <v>2013</v>
      </c>
    </row>
    <row r="391" spans="1:27" x14ac:dyDescent="0.35">
      <c r="A391">
        <v>390</v>
      </c>
      <c r="B391" t="s">
        <v>481</v>
      </c>
      <c r="C391" t="s">
        <v>55</v>
      </c>
      <c r="D391" s="1">
        <v>41521</v>
      </c>
      <c r="E391" t="s">
        <v>29</v>
      </c>
      <c r="F391" t="s">
        <v>49</v>
      </c>
      <c r="G391" t="s">
        <v>29</v>
      </c>
      <c r="H391" t="s">
        <v>50</v>
      </c>
      <c r="I391" t="s">
        <v>23</v>
      </c>
      <c r="J391">
        <v>0</v>
      </c>
      <c r="K391" t="s">
        <v>29</v>
      </c>
      <c r="L391">
        <v>44</v>
      </c>
      <c r="M391">
        <v>0</v>
      </c>
      <c r="N391" t="s">
        <v>222</v>
      </c>
      <c r="O391" t="s">
        <v>57</v>
      </c>
      <c r="P391" t="s">
        <v>88</v>
      </c>
      <c r="Q391" t="s">
        <v>432</v>
      </c>
      <c r="U391" t="str">
        <f t="shared" si="18"/>
        <v>Batting First Won</v>
      </c>
      <c r="X391" t="str">
        <f t="shared" si="19"/>
        <v>Yes</v>
      </c>
      <c r="AA391" t="str">
        <f t="shared" si="20"/>
        <v>2013</v>
      </c>
    </row>
    <row r="392" spans="1:27" x14ac:dyDescent="0.35">
      <c r="A392">
        <v>391</v>
      </c>
      <c r="B392" t="s">
        <v>481</v>
      </c>
      <c r="C392" t="s">
        <v>101</v>
      </c>
      <c r="D392" s="1">
        <v>41551</v>
      </c>
      <c r="E392" t="s">
        <v>43</v>
      </c>
      <c r="F392" t="s">
        <v>141</v>
      </c>
      <c r="G392" t="s">
        <v>141</v>
      </c>
      <c r="H392" t="s">
        <v>22</v>
      </c>
      <c r="I392" t="s">
        <v>23</v>
      </c>
      <c r="J392">
        <v>0</v>
      </c>
      <c r="K392" t="s">
        <v>141</v>
      </c>
      <c r="L392">
        <v>0</v>
      </c>
      <c r="M392">
        <v>10</v>
      </c>
      <c r="N392" t="s">
        <v>142</v>
      </c>
      <c r="O392" t="s">
        <v>143</v>
      </c>
      <c r="P392" t="s">
        <v>148</v>
      </c>
      <c r="Q392" t="s">
        <v>47</v>
      </c>
      <c r="U392" t="str">
        <f t="shared" si="18"/>
        <v>Chasing Won</v>
      </c>
      <c r="X392" t="str">
        <f t="shared" si="19"/>
        <v>Yes</v>
      </c>
      <c r="AA392" t="str">
        <f t="shared" si="20"/>
        <v>2013</v>
      </c>
    </row>
    <row r="393" spans="1:27" x14ac:dyDescent="0.35">
      <c r="A393">
        <v>392</v>
      </c>
      <c r="B393" t="s">
        <v>481</v>
      </c>
      <c r="C393" t="s">
        <v>48</v>
      </c>
      <c r="D393" s="1">
        <v>41582</v>
      </c>
      <c r="E393" t="s">
        <v>37</v>
      </c>
      <c r="F393" t="s">
        <v>21</v>
      </c>
      <c r="G393" t="s">
        <v>21</v>
      </c>
      <c r="H393" t="s">
        <v>22</v>
      </c>
      <c r="I393" t="s">
        <v>23</v>
      </c>
      <c r="J393">
        <v>0</v>
      </c>
      <c r="K393" t="s">
        <v>21</v>
      </c>
      <c r="L393">
        <v>0</v>
      </c>
      <c r="M393">
        <v>8</v>
      </c>
      <c r="N393" t="s">
        <v>81</v>
      </c>
      <c r="O393" t="s">
        <v>52</v>
      </c>
      <c r="P393" t="s">
        <v>138</v>
      </c>
      <c r="Q393" t="s">
        <v>46</v>
      </c>
      <c r="U393" t="str">
        <f t="shared" si="18"/>
        <v>Chasing Won</v>
      </c>
      <c r="X393" t="str">
        <f t="shared" si="19"/>
        <v>Yes</v>
      </c>
      <c r="AA393" t="str">
        <f t="shared" si="20"/>
        <v>2013</v>
      </c>
    </row>
    <row r="394" spans="1:27" x14ac:dyDescent="0.35">
      <c r="A394">
        <v>393</v>
      </c>
      <c r="B394" t="s">
        <v>481</v>
      </c>
      <c r="C394" t="s">
        <v>28</v>
      </c>
      <c r="D394" s="1">
        <v>41582</v>
      </c>
      <c r="E394" t="s">
        <v>146</v>
      </c>
      <c r="F394" t="s">
        <v>373</v>
      </c>
      <c r="G394" t="s">
        <v>146</v>
      </c>
      <c r="H394" t="s">
        <v>50</v>
      </c>
      <c r="I394" t="s">
        <v>23</v>
      </c>
      <c r="J394">
        <v>0</v>
      </c>
      <c r="K394" t="s">
        <v>373</v>
      </c>
      <c r="L394">
        <v>0</v>
      </c>
      <c r="M394">
        <v>7</v>
      </c>
      <c r="N394" t="s">
        <v>484</v>
      </c>
      <c r="O394" t="s">
        <v>434</v>
      </c>
      <c r="P394" t="s">
        <v>88</v>
      </c>
      <c r="Q394" t="s">
        <v>485</v>
      </c>
      <c r="U394" t="str">
        <f t="shared" si="18"/>
        <v>Chasing Won</v>
      </c>
      <c r="X394" t="str">
        <f t="shared" si="19"/>
        <v>No</v>
      </c>
      <c r="AA394" t="str">
        <f t="shared" si="20"/>
        <v>2013</v>
      </c>
    </row>
    <row r="395" spans="1:27" x14ac:dyDescent="0.35">
      <c r="A395">
        <v>394</v>
      </c>
      <c r="B395" t="s">
        <v>481</v>
      </c>
      <c r="C395" t="s">
        <v>71</v>
      </c>
      <c r="D395" s="1">
        <v>41612</v>
      </c>
      <c r="E395" t="s">
        <v>49</v>
      </c>
      <c r="F395" t="s">
        <v>20</v>
      </c>
      <c r="G395" t="s">
        <v>49</v>
      </c>
      <c r="H395" t="s">
        <v>50</v>
      </c>
      <c r="I395" t="s">
        <v>23</v>
      </c>
      <c r="J395">
        <v>0</v>
      </c>
      <c r="K395" t="s">
        <v>20</v>
      </c>
      <c r="L395">
        <v>0</v>
      </c>
      <c r="M395">
        <v>3</v>
      </c>
      <c r="N395" t="s">
        <v>207</v>
      </c>
      <c r="O395" t="s">
        <v>73</v>
      </c>
      <c r="P395" t="s">
        <v>148</v>
      </c>
      <c r="Q395" t="s">
        <v>486</v>
      </c>
      <c r="U395" t="str">
        <f t="shared" si="18"/>
        <v>Chasing Won</v>
      </c>
      <c r="X395" t="str">
        <f t="shared" si="19"/>
        <v>No</v>
      </c>
      <c r="AA395" t="str">
        <f t="shared" si="20"/>
        <v>2013</v>
      </c>
    </row>
    <row r="396" spans="1:27" x14ac:dyDescent="0.35">
      <c r="A396">
        <v>395</v>
      </c>
      <c r="B396" t="s">
        <v>481</v>
      </c>
      <c r="C396" t="s">
        <v>55</v>
      </c>
      <c r="D396" t="s">
        <v>487</v>
      </c>
      <c r="E396" t="s">
        <v>29</v>
      </c>
      <c r="F396" t="s">
        <v>373</v>
      </c>
      <c r="G396" t="s">
        <v>29</v>
      </c>
      <c r="H396" t="s">
        <v>50</v>
      </c>
      <c r="I396" t="s">
        <v>23</v>
      </c>
      <c r="J396">
        <v>0</v>
      </c>
      <c r="K396" t="s">
        <v>29</v>
      </c>
      <c r="L396">
        <v>41</v>
      </c>
      <c r="M396">
        <v>0</v>
      </c>
      <c r="N396" t="s">
        <v>110</v>
      </c>
      <c r="O396" t="s">
        <v>57</v>
      </c>
      <c r="P396" t="s">
        <v>34</v>
      </c>
      <c r="Q396" t="s">
        <v>244</v>
      </c>
      <c r="U396" t="str">
        <f t="shared" si="18"/>
        <v>Batting First Won</v>
      </c>
      <c r="X396" t="str">
        <f t="shared" si="19"/>
        <v>Yes</v>
      </c>
      <c r="AA396" t="str">
        <f t="shared" si="20"/>
        <v>2013</v>
      </c>
    </row>
    <row r="397" spans="1:27" x14ac:dyDescent="0.35">
      <c r="A397">
        <v>396</v>
      </c>
      <c r="B397" t="s">
        <v>481</v>
      </c>
      <c r="C397" t="s">
        <v>167</v>
      </c>
      <c r="D397" t="s">
        <v>487</v>
      </c>
      <c r="E397" t="s">
        <v>21</v>
      </c>
      <c r="F397" t="s">
        <v>141</v>
      </c>
      <c r="G397" t="s">
        <v>141</v>
      </c>
      <c r="H397" t="s">
        <v>22</v>
      </c>
      <c r="I397" t="s">
        <v>23</v>
      </c>
      <c r="J397">
        <v>0</v>
      </c>
      <c r="K397" t="s">
        <v>141</v>
      </c>
      <c r="L397">
        <v>0</v>
      </c>
      <c r="M397">
        <v>4</v>
      </c>
      <c r="N397" t="s">
        <v>430</v>
      </c>
      <c r="O397" t="s">
        <v>170</v>
      </c>
      <c r="P397" t="s">
        <v>138</v>
      </c>
      <c r="Q397" t="s">
        <v>46</v>
      </c>
      <c r="U397" t="str">
        <f t="shared" si="18"/>
        <v>Chasing Won</v>
      </c>
      <c r="X397" t="str">
        <f t="shared" si="19"/>
        <v>Yes</v>
      </c>
      <c r="AA397" t="str">
        <f t="shared" si="20"/>
        <v>2013</v>
      </c>
    </row>
    <row r="398" spans="1:27" x14ac:dyDescent="0.35">
      <c r="A398">
        <v>397</v>
      </c>
      <c r="B398" t="s">
        <v>481</v>
      </c>
      <c r="C398" t="s">
        <v>61</v>
      </c>
      <c r="D398" t="s">
        <v>488</v>
      </c>
      <c r="E398" t="s">
        <v>37</v>
      </c>
      <c r="F398" t="s">
        <v>20</v>
      </c>
      <c r="G398" t="s">
        <v>37</v>
      </c>
      <c r="H398" t="s">
        <v>50</v>
      </c>
      <c r="I398" t="s">
        <v>23</v>
      </c>
      <c r="J398">
        <v>0</v>
      </c>
      <c r="K398" t="s">
        <v>37</v>
      </c>
      <c r="L398">
        <v>48</v>
      </c>
      <c r="M398">
        <v>0</v>
      </c>
      <c r="N398" t="s">
        <v>100</v>
      </c>
      <c r="O398" t="s">
        <v>64</v>
      </c>
      <c r="P398" t="s">
        <v>88</v>
      </c>
      <c r="Q398" t="s">
        <v>432</v>
      </c>
      <c r="U398" t="str">
        <f t="shared" si="18"/>
        <v>Batting First Won</v>
      </c>
      <c r="X398" t="str">
        <f t="shared" si="19"/>
        <v>Yes</v>
      </c>
      <c r="AA398" t="str">
        <f t="shared" si="20"/>
        <v>2013</v>
      </c>
    </row>
    <row r="399" spans="1:27" x14ac:dyDescent="0.35">
      <c r="A399">
        <v>398</v>
      </c>
      <c r="B399" t="s">
        <v>481</v>
      </c>
      <c r="C399" t="s">
        <v>158</v>
      </c>
      <c r="D399" t="s">
        <v>488</v>
      </c>
      <c r="E399" t="s">
        <v>43</v>
      </c>
      <c r="F399" t="s">
        <v>146</v>
      </c>
      <c r="G399" t="s">
        <v>146</v>
      </c>
      <c r="H399" t="s">
        <v>22</v>
      </c>
      <c r="I399" t="s">
        <v>23</v>
      </c>
      <c r="J399">
        <v>0</v>
      </c>
      <c r="K399" t="s">
        <v>146</v>
      </c>
      <c r="L399">
        <v>0</v>
      </c>
      <c r="M399">
        <v>6</v>
      </c>
      <c r="N399" t="s">
        <v>489</v>
      </c>
      <c r="O399" t="s">
        <v>161</v>
      </c>
      <c r="P399" t="s">
        <v>148</v>
      </c>
      <c r="Q399" t="s">
        <v>47</v>
      </c>
      <c r="U399" t="str">
        <f t="shared" si="18"/>
        <v>Chasing Won</v>
      </c>
      <c r="X399" t="str">
        <f t="shared" si="19"/>
        <v>Yes</v>
      </c>
      <c r="AA399" t="str">
        <f t="shared" si="20"/>
        <v>2013</v>
      </c>
    </row>
    <row r="400" spans="1:27" x14ac:dyDescent="0.35">
      <c r="A400">
        <v>399</v>
      </c>
      <c r="B400" t="s">
        <v>481</v>
      </c>
      <c r="C400" t="s">
        <v>167</v>
      </c>
      <c r="D400" t="s">
        <v>490</v>
      </c>
      <c r="E400" t="s">
        <v>373</v>
      </c>
      <c r="F400" t="s">
        <v>141</v>
      </c>
      <c r="G400" t="s">
        <v>373</v>
      </c>
      <c r="H400" t="s">
        <v>50</v>
      </c>
      <c r="I400" t="s">
        <v>23</v>
      </c>
      <c r="J400">
        <v>0</v>
      </c>
      <c r="K400" t="s">
        <v>373</v>
      </c>
      <c r="L400">
        <v>24</v>
      </c>
      <c r="M400">
        <v>0</v>
      </c>
      <c r="N400" t="s">
        <v>31</v>
      </c>
      <c r="O400" t="s">
        <v>170</v>
      </c>
      <c r="P400" t="s">
        <v>138</v>
      </c>
      <c r="Q400" t="s">
        <v>46</v>
      </c>
      <c r="U400" t="str">
        <f t="shared" si="18"/>
        <v>Batting First Won</v>
      </c>
      <c r="X400" t="str">
        <f t="shared" si="19"/>
        <v>Yes</v>
      </c>
      <c r="AA400" t="str">
        <f t="shared" si="20"/>
        <v>2013</v>
      </c>
    </row>
    <row r="401" spans="1:27" x14ac:dyDescent="0.35">
      <c r="A401">
        <v>400</v>
      </c>
      <c r="B401" t="s">
        <v>481</v>
      </c>
      <c r="C401" t="s">
        <v>101</v>
      </c>
      <c r="D401" t="s">
        <v>491</v>
      </c>
      <c r="E401" t="s">
        <v>43</v>
      </c>
      <c r="F401" t="s">
        <v>37</v>
      </c>
      <c r="G401" t="s">
        <v>37</v>
      </c>
      <c r="H401" t="s">
        <v>22</v>
      </c>
      <c r="I401" t="s">
        <v>23</v>
      </c>
      <c r="J401">
        <v>0</v>
      </c>
      <c r="K401" t="s">
        <v>43</v>
      </c>
      <c r="L401">
        <v>4</v>
      </c>
      <c r="M401">
        <v>0</v>
      </c>
      <c r="N401" t="s">
        <v>492</v>
      </c>
      <c r="O401" t="s">
        <v>143</v>
      </c>
      <c r="P401" t="s">
        <v>41</v>
      </c>
      <c r="Q401" t="s">
        <v>244</v>
      </c>
      <c r="U401" t="str">
        <f t="shared" si="18"/>
        <v>Batting First Won</v>
      </c>
      <c r="X401" t="str">
        <f t="shared" si="19"/>
        <v>No</v>
      </c>
      <c r="AA401" t="str">
        <f t="shared" si="20"/>
        <v>2013</v>
      </c>
    </row>
    <row r="402" spans="1:27" x14ac:dyDescent="0.35">
      <c r="A402">
        <v>401</v>
      </c>
      <c r="B402" t="s">
        <v>481</v>
      </c>
      <c r="C402" t="s">
        <v>48</v>
      </c>
      <c r="D402" t="s">
        <v>491</v>
      </c>
      <c r="E402" t="s">
        <v>49</v>
      </c>
      <c r="F402" t="s">
        <v>21</v>
      </c>
      <c r="G402" t="s">
        <v>21</v>
      </c>
      <c r="H402" t="s">
        <v>22</v>
      </c>
      <c r="I402" t="s">
        <v>105</v>
      </c>
      <c r="J402">
        <v>0</v>
      </c>
      <c r="K402" t="s">
        <v>21</v>
      </c>
      <c r="L402">
        <v>0</v>
      </c>
      <c r="M402">
        <v>0</v>
      </c>
      <c r="N402" t="s">
        <v>396</v>
      </c>
      <c r="O402" t="s">
        <v>52</v>
      </c>
      <c r="P402" t="s">
        <v>88</v>
      </c>
      <c r="Q402" t="s">
        <v>432</v>
      </c>
      <c r="U402" t="str">
        <f t="shared" si="18"/>
        <v>Chasing Won</v>
      </c>
      <c r="X402" t="str">
        <f t="shared" si="19"/>
        <v>Yes</v>
      </c>
      <c r="AA402" t="str">
        <f t="shared" si="20"/>
        <v>2013</v>
      </c>
    </row>
    <row r="403" spans="1:27" x14ac:dyDescent="0.35">
      <c r="A403">
        <v>402</v>
      </c>
      <c r="B403" t="s">
        <v>481</v>
      </c>
      <c r="C403" t="s">
        <v>28</v>
      </c>
      <c r="D403" t="s">
        <v>493</v>
      </c>
      <c r="E403" t="s">
        <v>20</v>
      </c>
      <c r="F403" t="s">
        <v>373</v>
      </c>
      <c r="G403" t="s">
        <v>373</v>
      </c>
      <c r="H403" t="s">
        <v>22</v>
      </c>
      <c r="I403" t="s">
        <v>23</v>
      </c>
      <c r="J403">
        <v>0</v>
      </c>
      <c r="K403" t="s">
        <v>20</v>
      </c>
      <c r="L403">
        <v>11</v>
      </c>
      <c r="M403">
        <v>0</v>
      </c>
      <c r="N403" t="s">
        <v>207</v>
      </c>
      <c r="O403" t="s">
        <v>434</v>
      </c>
      <c r="P403" t="s">
        <v>138</v>
      </c>
      <c r="Q403" t="s">
        <v>46</v>
      </c>
      <c r="U403" t="str">
        <f t="shared" si="18"/>
        <v>Batting First Won</v>
      </c>
      <c r="X403" t="str">
        <f t="shared" si="19"/>
        <v>No</v>
      </c>
      <c r="AA403" t="str">
        <f t="shared" si="20"/>
        <v>2013</v>
      </c>
    </row>
    <row r="404" spans="1:27" x14ac:dyDescent="0.35">
      <c r="A404">
        <v>403</v>
      </c>
      <c r="B404" t="s">
        <v>481</v>
      </c>
      <c r="C404" t="s">
        <v>158</v>
      </c>
      <c r="D404" t="s">
        <v>493</v>
      </c>
      <c r="E404" t="s">
        <v>146</v>
      </c>
      <c r="F404" t="s">
        <v>29</v>
      </c>
      <c r="G404" t="s">
        <v>146</v>
      </c>
      <c r="H404" t="s">
        <v>50</v>
      </c>
      <c r="I404" t="s">
        <v>23</v>
      </c>
      <c r="J404">
        <v>0</v>
      </c>
      <c r="K404" t="s">
        <v>146</v>
      </c>
      <c r="L404">
        <v>87</v>
      </c>
      <c r="M404">
        <v>0</v>
      </c>
      <c r="N404" t="s">
        <v>428</v>
      </c>
      <c r="O404" t="s">
        <v>161</v>
      </c>
      <c r="P404" t="s">
        <v>148</v>
      </c>
      <c r="Q404" t="s">
        <v>47</v>
      </c>
      <c r="U404" t="str">
        <f t="shared" si="18"/>
        <v>Batting First Won</v>
      </c>
      <c r="X404" t="str">
        <f t="shared" si="19"/>
        <v>Yes</v>
      </c>
      <c r="AA404" t="str">
        <f t="shared" si="20"/>
        <v>2013</v>
      </c>
    </row>
    <row r="405" spans="1:27" x14ac:dyDescent="0.35">
      <c r="A405">
        <v>404</v>
      </c>
      <c r="B405" t="s">
        <v>481</v>
      </c>
      <c r="C405" t="s">
        <v>71</v>
      </c>
      <c r="D405" t="s">
        <v>494</v>
      </c>
      <c r="E405" t="s">
        <v>141</v>
      </c>
      <c r="F405" t="s">
        <v>49</v>
      </c>
      <c r="G405" t="s">
        <v>141</v>
      </c>
      <c r="H405" t="s">
        <v>50</v>
      </c>
      <c r="I405" t="s">
        <v>23</v>
      </c>
      <c r="J405">
        <v>0</v>
      </c>
      <c r="K405" t="s">
        <v>141</v>
      </c>
      <c r="L405">
        <v>86</v>
      </c>
      <c r="M405">
        <v>0</v>
      </c>
      <c r="N405" t="s">
        <v>142</v>
      </c>
      <c r="O405" t="s">
        <v>73</v>
      </c>
      <c r="P405" t="s">
        <v>88</v>
      </c>
      <c r="Q405" t="s">
        <v>432</v>
      </c>
      <c r="U405" t="str">
        <f t="shared" si="18"/>
        <v>Batting First Won</v>
      </c>
      <c r="X405" t="str">
        <f t="shared" si="19"/>
        <v>Yes</v>
      </c>
      <c r="AA405" t="str">
        <f t="shared" si="20"/>
        <v>2013</v>
      </c>
    </row>
    <row r="406" spans="1:27" x14ac:dyDescent="0.35">
      <c r="A406">
        <v>405</v>
      </c>
      <c r="B406" t="s">
        <v>481</v>
      </c>
      <c r="C406" t="s">
        <v>19</v>
      </c>
      <c r="D406" t="s">
        <v>495</v>
      </c>
      <c r="E406" t="s">
        <v>43</v>
      </c>
      <c r="F406" t="s">
        <v>20</v>
      </c>
      <c r="G406" t="s">
        <v>43</v>
      </c>
      <c r="H406" t="s">
        <v>50</v>
      </c>
      <c r="I406" t="s">
        <v>23</v>
      </c>
      <c r="J406">
        <v>0</v>
      </c>
      <c r="K406" t="s">
        <v>20</v>
      </c>
      <c r="L406">
        <v>0</v>
      </c>
      <c r="M406">
        <v>5</v>
      </c>
      <c r="N406" t="s">
        <v>483</v>
      </c>
      <c r="O406" t="s">
        <v>25</v>
      </c>
      <c r="P406" t="s">
        <v>256</v>
      </c>
      <c r="Q406" t="s">
        <v>41</v>
      </c>
      <c r="U406" t="str">
        <f t="shared" si="18"/>
        <v>Chasing Won</v>
      </c>
      <c r="X406" t="str">
        <f t="shared" si="19"/>
        <v>No</v>
      </c>
      <c r="AA406" t="str">
        <f t="shared" si="20"/>
        <v>2013</v>
      </c>
    </row>
    <row r="407" spans="1:27" x14ac:dyDescent="0.35">
      <c r="A407">
        <v>406</v>
      </c>
      <c r="B407" t="s">
        <v>481</v>
      </c>
      <c r="C407" t="s">
        <v>61</v>
      </c>
      <c r="D407" t="s">
        <v>496</v>
      </c>
      <c r="E407" t="s">
        <v>37</v>
      </c>
      <c r="F407" t="s">
        <v>141</v>
      </c>
      <c r="G407" t="s">
        <v>37</v>
      </c>
      <c r="H407" t="s">
        <v>50</v>
      </c>
      <c r="I407" t="s">
        <v>23</v>
      </c>
      <c r="J407">
        <v>0</v>
      </c>
      <c r="K407" t="s">
        <v>141</v>
      </c>
      <c r="L407">
        <v>0</v>
      </c>
      <c r="M407">
        <v>4</v>
      </c>
      <c r="N407" t="s">
        <v>430</v>
      </c>
      <c r="O407" t="s">
        <v>64</v>
      </c>
      <c r="P407" t="s">
        <v>138</v>
      </c>
      <c r="Q407" t="s">
        <v>46</v>
      </c>
      <c r="U407" t="str">
        <f t="shared" si="18"/>
        <v>Chasing Won</v>
      </c>
      <c r="X407" t="str">
        <f t="shared" si="19"/>
        <v>No</v>
      </c>
      <c r="AA407" t="str">
        <f t="shared" si="20"/>
        <v>2013</v>
      </c>
    </row>
    <row r="408" spans="1:27" x14ac:dyDescent="0.35">
      <c r="A408">
        <v>407</v>
      </c>
      <c r="B408" t="s">
        <v>481</v>
      </c>
      <c r="C408" t="s">
        <v>48</v>
      </c>
      <c r="D408" t="s">
        <v>496</v>
      </c>
      <c r="E408" t="s">
        <v>146</v>
      </c>
      <c r="F408" t="s">
        <v>21</v>
      </c>
      <c r="G408" t="s">
        <v>21</v>
      </c>
      <c r="H408" t="s">
        <v>22</v>
      </c>
      <c r="I408" t="s">
        <v>23</v>
      </c>
      <c r="J408">
        <v>0</v>
      </c>
      <c r="K408" t="s">
        <v>21</v>
      </c>
      <c r="L408">
        <v>0</v>
      </c>
      <c r="M408">
        <v>7</v>
      </c>
      <c r="N408" t="s">
        <v>192</v>
      </c>
      <c r="O408" t="s">
        <v>52</v>
      </c>
      <c r="P408" t="s">
        <v>148</v>
      </c>
      <c r="Q408" t="s">
        <v>47</v>
      </c>
      <c r="U408" t="str">
        <f t="shared" si="18"/>
        <v>Chasing Won</v>
      </c>
      <c r="X408" t="str">
        <f t="shared" si="19"/>
        <v>Yes</v>
      </c>
      <c r="AA408" t="str">
        <f t="shared" si="20"/>
        <v>2013</v>
      </c>
    </row>
    <row r="409" spans="1:27" x14ac:dyDescent="0.35">
      <c r="A409">
        <v>408</v>
      </c>
      <c r="B409" t="s">
        <v>481</v>
      </c>
      <c r="C409" t="s">
        <v>71</v>
      </c>
      <c r="D409" t="s">
        <v>497</v>
      </c>
      <c r="E409" t="s">
        <v>29</v>
      </c>
      <c r="F409" t="s">
        <v>49</v>
      </c>
      <c r="G409" t="s">
        <v>29</v>
      </c>
      <c r="H409" t="s">
        <v>50</v>
      </c>
      <c r="I409" t="s">
        <v>23</v>
      </c>
      <c r="J409">
        <v>0</v>
      </c>
      <c r="K409" t="s">
        <v>49</v>
      </c>
      <c r="L409">
        <v>0</v>
      </c>
      <c r="M409">
        <v>9</v>
      </c>
      <c r="N409" t="s">
        <v>164</v>
      </c>
      <c r="O409" t="s">
        <v>73</v>
      </c>
      <c r="P409" t="s">
        <v>256</v>
      </c>
      <c r="Q409" t="s">
        <v>34</v>
      </c>
      <c r="U409" t="str">
        <f t="shared" si="18"/>
        <v>Chasing Won</v>
      </c>
      <c r="X409" t="str">
        <f t="shared" si="19"/>
        <v>No</v>
      </c>
      <c r="AA409" t="str">
        <f t="shared" si="20"/>
        <v>2013</v>
      </c>
    </row>
    <row r="410" spans="1:27" x14ac:dyDescent="0.35">
      <c r="A410">
        <v>409</v>
      </c>
      <c r="B410" t="s">
        <v>481</v>
      </c>
      <c r="C410" t="s">
        <v>101</v>
      </c>
      <c r="D410" t="s">
        <v>497</v>
      </c>
      <c r="E410" t="s">
        <v>373</v>
      </c>
      <c r="F410" t="s">
        <v>43</v>
      </c>
      <c r="G410" t="s">
        <v>43</v>
      </c>
      <c r="H410" t="s">
        <v>22</v>
      </c>
      <c r="I410" t="s">
        <v>23</v>
      </c>
      <c r="J410">
        <v>0</v>
      </c>
      <c r="K410" t="s">
        <v>43</v>
      </c>
      <c r="L410">
        <v>0</v>
      </c>
      <c r="M410">
        <v>7</v>
      </c>
      <c r="N410" t="s">
        <v>498</v>
      </c>
      <c r="O410" t="s">
        <v>143</v>
      </c>
      <c r="P410" t="s">
        <v>88</v>
      </c>
      <c r="Q410" t="s">
        <v>485</v>
      </c>
      <c r="U410" t="str">
        <f t="shared" si="18"/>
        <v>Chasing Won</v>
      </c>
      <c r="X410" t="str">
        <f t="shared" si="19"/>
        <v>Yes</v>
      </c>
      <c r="AA410" t="str">
        <f t="shared" si="20"/>
        <v>2013</v>
      </c>
    </row>
    <row r="411" spans="1:27" x14ac:dyDescent="0.35">
      <c r="A411">
        <v>410</v>
      </c>
      <c r="B411" t="s">
        <v>481</v>
      </c>
      <c r="C411" t="s">
        <v>167</v>
      </c>
      <c r="D411" t="s">
        <v>499</v>
      </c>
      <c r="E411" t="s">
        <v>146</v>
      </c>
      <c r="F411" t="s">
        <v>141</v>
      </c>
      <c r="G411" t="s">
        <v>146</v>
      </c>
      <c r="H411" t="s">
        <v>50</v>
      </c>
      <c r="I411" t="s">
        <v>23</v>
      </c>
      <c r="J411">
        <v>0</v>
      </c>
      <c r="K411" t="s">
        <v>141</v>
      </c>
      <c r="L411">
        <v>0</v>
      </c>
      <c r="M411">
        <v>5</v>
      </c>
      <c r="N411" t="s">
        <v>142</v>
      </c>
      <c r="O411" t="s">
        <v>170</v>
      </c>
      <c r="P411" t="s">
        <v>259</v>
      </c>
      <c r="Q411" t="s">
        <v>46</v>
      </c>
      <c r="U411" t="str">
        <f t="shared" si="18"/>
        <v>Chasing Won</v>
      </c>
      <c r="X411" t="str">
        <f t="shared" si="19"/>
        <v>No</v>
      </c>
      <c r="AA411" t="str">
        <f t="shared" si="20"/>
        <v>2013</v>
      </c>
    </row>
    <row r="412" spans="1:27" x14ac:dyDescent="0.35">
      <c r="A412">
        <v>411</v>
      </c>
      <c r="B412" t="s">
        <v>481</v>
      </c>
      <c r="C412" t="s">
        <v>48</v>
      </c>
      <c r="D412" t="s">
        <v>500</v>
      </c>
      <c r="E412" t="s">
        <v>21</v>
      </c>
      <c r="F412" t="s">
        <v>373</v>
      </c>
      <c r="G412" t="s">
        <v>373</v>
      </c>
      <c r="H412" t="s">
        <v>22</v>
      </c>
      <c r="I412" t="s">
        <v>23</v>
      </c>
      <c r="J412">
        <v>0</v>
      </c>
      <c r="K412" t="s">
        <v>21</v>
      </c>
      <c r="L412">
        <v>130</v>
      </c>
      <c r="M412">
        <v>0</v>
      </c>
      <c r="N412" t="s">
        <v>81</v>
      </c>
      <c r="O412" t="s">
        <v>52</v>
      </c>
      <c r="P412" t="s">
        <v>148</v>
      </c>
      <c r="Q412" t="s">
        <v>47</v>
      </c>
      <c r="U412" t="str">
        <f t="shared" si="18"/>
        <v>Batting First Won</v>
      </c>
      <c r="X412" t="str">
        <f t="shared" si="19"/>
        <v>No</v>
      </c>
      <c r="AA412" t="str">
        <f t="shared" si="20"/>
        <v>2013</v>
      </c>
    </row>
    <row r="413" spans="1:27" x14ac:dyDescent="0.35">
      <c r="A413">
        <v>412</v>
      </c>
      <c r="B413" t="s">
        <v>481</v>
      </c>
      <c r="C413" t="s">
        <v>353</v>
      </c>
      <c r="D413" t="s">
        <v>501</v>
      </c>
      <c r="E413" t="s">
        <v>43</v>
      </c>
      <c r="F413" t="s">
        <v>49</v>
      </c>
      <c r="G413" t="s">
        <v>49</v>
      </c>
      <c r="H413" t="s">
        <v>22</v>
      </c>
      <c r="I413" t="s">
        <v>23</v>
      </c>
      <c r="J413">
        <v>0</v>
      </c>
      <c r="K413" t="s">
        <v>43</v>
      </c>
      <c r="L413">
        <v>7</v>
      </c>
      <c r="M413">
        <v>0</v>
      </c>
      <c r="N413" t="s">
        <v>498</v>
      </c>
      <c r="O413" t="s">
        <v>355</v>
      </c>
      <c r="P413" t="s">
        <v>256</v>
      </c>
      <c r="Q413" t="s">
        <v>34</v>
      </c>
      <c r="U413" t="str">
        <f t="shared" si="18"/>
        <v>Batting First Won</v>
      </c>
      <c r="X413" t="str">
        <f t="shared" si="19"/>
        <v>No</v>
      </c>
      <c r="AA413" t="str">
        <f t="shared" si="20"/>
        <v>2013</v>
      </c>
    </row>
    <row r="414" spans="1:27" x14ac:dyDescent="0.35">
      <c r="A414">
        <v>413</v>
      </c>
      <c r="B414" t="s">
        <v>481</v>
      </c>
      <c r="C414" t="s">
        <v>61</v>
      </c>
      <c r="D414" t="s">
        <v>502</v>
      </c>
      <c r="E414" t="s">
        <v>37</v>
      </c>
      <c r="F414" t="s">
        <v>29</v>
      </c>
      <c r="G414" t="s">
        <v>37</v>
      </c>
      <c r="H414" t="s">
        <v>50</v>
      </c>
      <c r="I414" t="s">
        <v>23</v>
      </c>
      <c r="J414">
        <v>0</v>
      </c>
      <c r="K414" t="s">
        <v>29</v>
      </c>
      <c r="L414">
        <v>0</v>
      </c>
      <c r="M414">
        <v>5</v>
      </c>
      <c r="N414" t="s">
        <v>116</v>
      </c>
      <c r="O414" t="s">
        <v>64</v>
      </c>
      <c r="P414" t="s">
        <v>256</v>
      </c>
      <c r="Q414" t="s">
        <v>34</v>
      </c>
      <c r="U414" t="str">
        <f t="shared" si="18"/>
        <v>Chasing Won</v>
      </c>
      <c r="X414" t="str">
        <f t="shared" si="19"/>
        <v>No</v>
      </c>
      <c r="AA414" t="str">
        <f t="shared" si="20"/>
        <v>2013</v>
      </c>
    </row>
    <row r="415" spans="1:27" x14ac:dyDescent="0.35">
      <c r="A415">
        <v>414</v>
      </c>
      <c r="B415" t="s">
        <v>481</v>
      </c>
      <c r="C415" t="s">
        <v>167</v>
      </c>
      <c r="D415" t="s">
        <v>503</v>
      </c>
      <c r="E415" t="s">
        <v>20</v>
      </c>
      <c r="F415" t="s">
        <v>141</v>
      </c>
      <c r="G415" t="s">
        <v>20</v>
      </c>
      <c r="H415" t="s">
        <v>50</v>
      </c>
      <c r="I415" t="s">
        <v>23</v>
      </c>
      <c r="J415">
        <v>0</v>
      </c>
      <c r="K415" t="s">
        <v>141</v>
      </c>
      <c r="L415">
        <v>0</v>
      </c>
      <c r="M415">
        <v>5</v>
      </c>
      <c r="N415" t="s">
        <v>93</v>
      </c>
      <c r="O415" t="s">
        <v>170</v>
      </c>
      <c r="P415" t="s">
        <v>148</v>
      </c>
      <c r="Q415" t="s">
        <v>315</v>
      </c>
      <c r="U415" t="str">
        <f t="shared" si="18"/>
        <v>Chasing Won</v>
      </c>
      <c r="X415" t="str">
        <f t="shared" si="19"/>
        <v>No</v>
      </c>
      <c r="AA415" t="str">
        <f t="shared" si="20"/>
        <v>2013</v>
      </c>
    </row>
    <row r="416" spans="1:27" x14ac:dyDescent="0.35">
      <c r="A416">
        <v>415</v>
      </c>
      <c r="B416" t="s">
        <v>481</v>
      </c>
      <c r="C416" t="s">
        <v>61</v>
      </c>
      <c r="D416" t="s">
        <v>504</v>
      </c>
      <c r="E416" t="s">
        <v>43</v>
      </c>
      <c r="F416" t="s">
        <v>37</v>
      </c>
      <c r="G416" t="s">
        <v>43</v>
      </c>
      <c r="H416" t="s">
        <v>50</v>
      </c>
      <c r="I416" t="s">
        <v>23</v>
      </c>
      <c r="J416">
        <v>0</v>
      </c>
      <c r="K416" t="s">
        <v>37</v>
      </c>
      <c r="L416">
        <v>0</v>
      </c>
      <c r="M416">
        <v>6</v>
      </c>
      <c r="N416" t="s">
        <v>276</v>
      </c>
      <c r="O416" t="s">
        <v>64</v>
      </c>
      <c r="P416" t="s">
        <v>41</v>
      </c>
      <c r="Q416" t="s">
        <v>34</v>
      </c>
      <c r="U416" t="str">
        <f t="shared" si="18"/>
        <v>Chasing Won</v>
      </c>
      <c r="X416" t="str">
        <f t="shared" si="19"/>
        <v>No</v>
      </c>
      <c r="AA416" t="str">
        <f t="shared" si="20"/>
        <v>2013</v>
      </c>
    </row>
    <row r="417" spans="1:27" x14ac:dyDescent="0.35">
      <c r="A417">
        <v>416</v>
      </c>
      <c r="B417" t="s">
        <v>481</v>
      </c>
      <c r="C417" t="s">
        <v>158</v>
      </c>
      <c r="D417" t="s">
        <v>505</v>
      </c>
      <c r="E417" t="s">
        <v>20</v>
      </c>
      <c r="F417" t="s">
        <v>146</v>
      </c>
      <c r="G417" t="s">
        <v>20</v>
      </c>
      <c r="H417" t="s">
        <v>50</v>
      </c>
      <c r="I417" t="s">
        <v>23</v>
      </c>
      <c r="J417">
        <v>0</v>
      </c>
      <c r="K417" t="s">
        <v>146</v>
      </c>
      <c r="L417">
        <v>0</v>
      </c>
      <c r="M417">
        <v>8</v>
      </c>
      <c r="N417" t="s">
        <v>489</v>
      </c>
      <c r="O417" t="s">
        <v>161</v>
      </c>
      <c r="P417" t="s">
        <v>432</v>
      </c>
      <c r="Q417" t="s">
        <v>485</v>
      </c>
      <c r="U417" t="str">
        <f t="shared" si="18"/>
        <v>Chasing Won</v>
      </c>
      <c r="X417" t="str">
        <f t="shared" si="19"/>
        <v>No</v>
      </c>
      <c r="AA417" t="str">
        <f t="shared" si="20"/>
        <v>2013</v>
      </c>
    </row>
    <row r="418" spans="1:27" x14ac:dyDescent="0.35">
      <c r="A418">
        <v>417</v>
      </c>
      <c r="B418" t="s">
        <v>481</v>
      </c>
      <c r="C418" t="s">
        <v>55</v>
      </c>
      <c r="D418" t="s">
        <v>505</v>
      </c>
      <c r="E418" t="s">
        <v>29</v>
      </c>
      <c r="F418" t="s">
        <v>21</v>
      </c>
      <c r="G418" t="s">
        <v>29</v>
      </c>
      <c r="H418" t="s">
        <v>50</v>
      </c>
      <c r="I418" t="s">
        <v>23</v>
      </c>
      <c r="J418">
        <v>0</v>
      </c>
      <c r="K418" t="s">
        <v>29</v>
      </c>
      <c r="L418">
        <v>58</v>
      </c>
      <c r="M418">
        <v>0</v>
      </c>
      <c r="N418" t="s">
        <v>116</v>
      </c>
      <c r="O418" t="s">
        <v>57</v>
      </c>
      <c r="P418" t="s">
        <v>138</v>
      </c>
      <c r="Q418" t="s">
        <v>259</v>
      </c>
      <c r="U418" t="str">
        <f t="shared" si="18"/>
        <v>Batting First Won</v>
      </c>
      <c r="X418" t="str">
        <f t="shared" si="19"/>
        <v>Yes</v>
      </c>
      <c r="AA418" t="str">
        <f t="shared" si="20"/>
        <v>2013</v>
      </c>
    </row>
    <row r="419" spans="1:27" x14ac:dyDescent="0.35">
      <c r="A419">
        <v>418</v>
      </c>
      <c r="B419" t="s">
        <v>481</v>
      </c>
      <c r="C419" t="s">
        <v>167</v>
      </c>
      <c r="D419" t="s">
        <v>506</v>
      </c>
      <c r="E419" t="s">
        <v>141</v>
      </c>
      <c r="F419" t="s">
        <v>37</v>
      </c>
      <c r="G419" t="s">
        <v>37</v>
      </c>
      <c r="H419" t="s">
        <v>22</v>
      </c>
      <c r="I419" t="s">
        <v>23</v>
      </c>
      <c r="J419">
        <v>0</v>
      </c>
      <c r="K419" t="s">
        <v>141</v>
      </c>
      <c r="L419">
        <v>14</v>
      </c>
      <c r="M419">
        <v>0</v>
      </c>
      <c r="N419" t="s">
        <v>142</v>
      </c>
      <c r="O419" t="s">
        <v>170</v>
      </c>
      <c r="P419" t="s">
        <v>148</v>
      </c>
      <c r="Q419" t="s">
        <v>244</v>
      </c>
      <c r="U419" t="str">
        <f t="shared" si="18"/>
        <v>Batting First Won</v>
      </c>
      <c r="X419" t="str">
        <f t="shared" si="19"/>
        <v>No</v>
      </c>
      <c r="AA419" t="str">
        <f t="shared" si="20"/>
        <v>2013</v>
      </c>
    </row>
    <row r="420" spans="1:27" x14ac:dyDescent="0.35">
      <c r="A420">
        <v>419</v>
      </c>
      <c r="B420" t="s">
        <v>481</v>
      </c>
      <c r="C420" t="s">
        <v>507</v>
      </c>
      <c r="D420" t="s">
        <v>506</v>
      </c>
      <c r="E420" t="s">
        <v>49</v>
      </c>
      <c r="F420" t="s">
        <v>373</v>
      </c>
      <c r="G420" t="s">
        <v>373</v>
      </c>
      <c r="H420" t="s">
        <v>22</v>
      </c>
      <c r="I420" t="s">
        <v>23</v>
      </c>
      <c r="J420">
        <v>0</v>
      </c>
      <c r="K420" t="s">
        <v>49</v>
      </c>
      <c r="L420">
        <v>15</v>
      </c>
      <c r="M420">
        <v>0</v>
      </c>
      <c r="N420" t="s">
        <v>109</v>
      </c>
      <c r="O420" t="s">
        <v>508</v>
      </c>
      <c r="P420" t="s">
        <v>41</v>
      </c>
      <c r="Q420" t="s">
        <v>34</v>
      </c>
      <c r="U420" t="str">
        <f t="shared" si="18"/>
        <v>Batting First Won</v>
      </c>
      <c r="X420" t="str">
        <f t="shared" si="19"/>
        <v>No</v>
      </c>
      <c r="AA420" t="str">
        <f t="shared" si="20"/>
        <v>2013</v>
      </c>
    </row>
    <row r="421" spans="1:27" x14ac:dyDescent="0.35">
      <c r="A421">
        <v>420</v>
      </c>
      <c r="B421" t="s">
        <v>481</v>
      </c>
      <c r="C421" t="s">
        <v>158</v>
      </c>
      <c r="D421" t="s">
        <v>509</v>
      </c>
      <c r="E421" t="s">
        <v>21</v>
      </c>
      <c r="F421" t="s">
        <v>146</v>
      </c>
      <c r="G421" t="s">
        <v>146</v>
      </c>
      <c r="H421" t="s">
        <v>22</v>
      </c>
      <c r="I421" t="s">
        <v>23</v>
      </c>
      <c r="J421">
        <v>0</v>
      </c>
      <c r="K421" t="s">
        <v>146</v>
      </c>
      <c r="L421">
        <v>0</v>
      </c>
      <c r="M421">
        <v>4</v>
      </c>
      <c r="N421" t="s">
        <v>59</v>
      </c>
      <c r="O421" t="s">
        <v>161</v>
      </c>
      <c r="P421" t="s">
        <v>88</v>
      </c>
      <c r="Q421" t="s">
        <v>485</v>
      </c>
      <c r="U421" t="str">
        <f t="shared" si="18"/>
        <v>Chasing Won</v>
      </c>
      <c r="X421" t="str">
        <f t="shared" si="19"/>
        <v>Yes</v>
      </c>
      <c r="AA421" t="str">
        <f t="shared" si="20"/>
        <v>2013</v>
      </c>
    </row>
    <row r="422" spans="1:27" x14ac:dyDescent="0.35">
      <c r="A422">
        <v>421</v>
      </c>
      <c r="B422" t="s">
        <v>481</v>
      </c>
      <c r="C422" t="s">
        <v>55</v>
      </c>
      <c r="D422" t="s">
        <v>509</v>
      </c>
      <c r="E422" t="s">
        <v>29</v>
      </c>
      <c r="F422" t="s">
        <v>43</v>
      </c>
      <c r="G422" t="s">
        <v>29</v>
      </c>
      <c r="H422" t="s">
        <v>50</v>
      </c>
      <c r="I422" t="s">
        <v>23</v>
      </c>
      <c r="J422">
        <v>0</v>
      </c>
      <c r="K422" t="s">
        <v>29</v>
      </c>
      <c r="L422">
        <v>4</v>
      </c>
      <c r="M422">
        <v>0</v>
      </c>
      <c r="N422" t="s">
        <v>110</v>
      </c>
      <c r="O422" t="s">
        <v>57</v>
      </c>
      <c r="P422" t="s">
        <v>138</v>
      </c>
      <c r="Q422" t="s">
        <v>46</v>
      </c>
      <c r="U422" t="str">
        <f t="shared" si="18"/>
        <v>Batting First Won</v>
      </c>
      <c r="X422" t="str">
        <f t="shared" si="19"/>
        <v>Yes</v>
      </c>
      <c r="AA422" t="str">
        <f t="shared" si="20"/>
        <v>2013</v>
      </c>
    </row>
    <row r="423" spans="1:27" x14ac:dyDescent="0.35">
      <c r="A423">
        <v>422</v>
      </c>
      <c r="B423" t="s">
        <v>481</v>
      </c>
      <c r="C423" t="s">
        <v>28</v>
      </c>
      <c r="D423" t="s">
        <v>510</v>
      </c>
      <c r="E423" t="s">
        <v>141</v>
      </c>
      <c r="F423" t="s">
        <v>373</v>
      </c>
      <c r="G423" t="s">
        <v>141</v>
      </c>
      <c r="H423" t="s">
        <v>50</v>
      </c>
      <c r="I423" t="s">
        <v>23</v>
      </c>
      <c r="J423">
        <v>0</v>
      </c>
      <c r="K423" t="s">
        <v>141</v>
      </c>
      <c r="L423">
        <v>37</v>
      </c>
      <c r="M423">
        <v>0</v>
      </c>
      <c r="N423" t="s">
        <v>93</v>
      </c>
      <c r="O423" t="s">
        <v>434</v>
      </c>
      <c r="P423" t="s">
        <v>315</v>
      </c>
      <c r="Q423" t="s">
        <v>244</v>
      </c>
      <c r="U423" t="str">
        <f t="shared" si="18"/>
        <v>Batting First Won</v>
      </c>
      <c r="X423" t="str">
        <f t="shared" si="19"/>
        <v>Yes</v>
      </c>
      <c r="AA423" t="str">
        <f t="shared" si="20"/>
        <v>2013</v>
      </c>
    </row>
    <row r="424" spans="1:27" x14ac:dyDescent="0.35">
      <c r="A424">
        <v>423</v>
      </c>
      <c r="B424" t="s">
        <v>481</v>
      </c>
      <c r="C424" t="s">
        <v>19</v>
      </c>
      <c r="D424" s="1">
        <v>41279</v>
      </c>
      <c r="E424" t="s">
        <v>29</v>
      </c>
      <c r="F424" t="s">
        <v>20</v>
      </c>
      <c r="G424" t="s">
        <v>29</v>
      </c>
      <c r="H424" t="s">
        <v>50</v>
      </c>
      <c r="I424" t="s">
        <v>23</v>
      </c>
      <c r="J424">
        <v>0</v>
      </c>
      <c r="K424" t="s">
        <v>20</v>
      </c>
      <c r="L424">
        <v>0</v>
      </c>
      <c r="M424">
        <v>7</v>
      </c>
      <c r="N424" t="s">
        <v>398</v>
      </c>
      <c r="O424" t="s">
        <v>25</v>
      </c>
      <c r="P424" t="s">
        <v>138</v>
      </c>
      <c r="Q424" t="s">
        <v>259</v>
      </c>
      <c r="U424" t="str">
        <f t="shared" si="18"/>
        <v>Chasing Won</v>
      </c>
      <c r="X424" t="str">
        <f t="shared" si="19"/>
        <v>No</v>
      </c>
      <c r="AA424" t="str">
        <f t="shared" si="20"/>
        <v>2013</v>
      </c>
    </row>
    <row r="425" spans="1:27" x14ac:dyDescent="0.35">
      <c r="A425">
        <v>424</v>
      </c>
      <c r="B425" t="s">
        <v>481</v>
      </c>
      <c r="C425" t="s">
        <v>507</v>
      </c>
      <c r="D425" s="1">
        <v>41279</v>
      </c>
      <c r="E425" t="s">
        <v>37</v>
      </c>
      <c r="F425" t="s">
        <v>49</v>
      </c>
      <c r="G425" t="s">
        <v>37</v>
      </c>
      <c r="H425" t="s">
        <v>50</v>
      </c>
      <c r="I425" t="s">
        <v>23</v>
      </c>
      <c r="J425">
        <v>0</v>
      </c>
      <c r="K425" t="s">
        <v>49</v>
      </c>
      <c r="L425">
        <v>0</v>
      </c>
      <c r="M425">
        <v>7</v>
      </c>
      <c r="N425" t="s">
        <v>109</v>
      </c>
      <c r="O425" t="s">
        <v>508</v>
      </c>
      <c r="P425" t="s">
        <v>256</v>
      </c>
      <c r="Q425" t="s">
        <v>41</v>
      </c>
      <c r="U425" t="str">
        <f t="shared" si="18"/>
        <v>Chasing Won</v>
      </c>
      <c r="X425" t="str">
        <f t="shared" si="19"/>
        <v>No</v>
      </c>
      <c r="AA425" t="str">
        <f t="shared" si="20"/>
        <v>2013</v>
      </c>
    </row>
    <row r="426" spans="1:27" x14ac:dyDescent="0.35">
      <c r="A426">
        <v>425</v>
      </c>
      <c r="B426" t="s">
        <v>481</v>
      </c>
      <c r="C426" t="s">
        <v>167</v>
      </c>
      <c r="D426" s="1">
        <v>41310</v>
      </c>
      <c r="E426" t="s">
        <v>141</v>
      </c>
      <c r="F426" t="s">
        <v>43</v>
      </c>
      <c r="G426" t="s">
        <v>141</v>
      </c>
      <c r="H426" t="s">
        <v>50</v>
      </c>
      <c r="I426" t="s">
        <v>23</v>
      </c>
      <c r="J426">
        <v>0</v>
      </c>
      <c r="K426" t="s">
        <v>141</v>
      </c>
      <c r="L426">
        <v>15</v>
      </c>
      <c r="M426">
        <v>0</v>
      </c>
      <c r="N426" t="s">
        <v>90</v>
      </c>
      <c r="O426" t="s">
        <v>170</v>
      </c>
      <c r="P426" t="s">
        <v>88</v>
      </c>
      <c r="Q426" t="s">
        <v>432</v>
      </c>
      <c r="U426" t="str">
        <f t="shared" si="18"/>
        <v>Batting First Won</v>
      </c>
      <c r="X426" t="str">
        <f t="shared" si="19"/>
        <v>Yes</v>
      </c>
      <c r="AA426" t="str">
        <f t="shared" si="20"/>
        <v>2013</v>
      </c>
    </row>
    <row r="427" spans="1:27" x14ac:dyDescent="0.35">
      <c r="A427">
        <v>426</v>
      </c>
      <c r="B427" t="s">
        <v>481</v>
      </c>
      <c r="C427" t="s">
        <v>28</v>
      </c>
      <c r="D427" s="1">
        <v>41310</v>
      </c>
      <c r="E427" t="s">
        <v>21</v>
      </c>
      <c r="F427" t="s">
        <v>373</v>
      </c>
      <c r="G427" t="s">
        <v>21</v>
      </c>
      <c r="H427" t="s">
        <v>50</v>
      </c>
      <c r="I427" t="s">
        <v>23</v>
      </c>
      <c r="J427">
        <v>0</v>
      </c>
      <c r="K427" t="s">
        <v>21</v>
      </c>
      <c r="L427">
        <v>17</v>
      </c>
      <c r="M427">
        <v>0</v>
      </c>
      <c r="N427" t="s">
        <v>250</v>
      </c>
      <c r="O427" t="s">
        <v>434</v>
      </c>
      <c r="P427" t="s">
        <v>148</v>
      </c>
      <c r="Q427" t="s">
        <v>47</v>
      </c>
      <c r="U427" t="str">
        <f t="shared" si="18"/>
        <v>Batting First Won</v>
      </c>
      <c r="X427" t="str">
        <f t="shared" si="19"/>
        <v>Yes</v>
      </c>
      <c r="AA427" t="str">
        <f t="shared" si="20"/>
        <v>2013</v>
      </c>
    </row>
    <row r="428" spans="1:27" x14ac:dyDescent="0.35">
      <c r="A428">
        <v>427</v>
      </c>
      <c r="B428" t="s">
        <v>481</v>
      </c>
      <c r="C428" t="s">
        <v>61</v>
      </c>
      <c r="D428" s="1">
        <v>41338</v>
      </c>
      <c r="E428" t="s">
        <v>146</v>
      </c>
      <c r="F428" t="s">
        <v>37</v>
      </c>
      <c r="G428" t="s">
        <v>146</v>
      </c>
      <c r="H428" t="s">
        <v>50</v>
      </c>
      <c r="I428" t="s">
        <v>23</v>
      </c>
      <c r="J428">
        <v>0</v>
      </c>
      <c r="K428" t="s">
        <v>37</v>
      </c>
      <c r="L428">
        <v>0</v>
      </c>
      <c r="M428">
        <v>8</v>
      </c>
      <c r="N428" t="s">
        <v>172</v>
      </c>
      <c r="O428" t="s">
        <v>64</v>
      </c>
      <c r="P428" t="s">
        <v>256</v>
      </c>
      <c r="Q428" t="s">
        <v>41</v>
      </c>
      <c r="U428" t="str">
        <f t="shared" si="18"/>
        <v>Chasing Won</v>
      </c>
      <c r="X428" t="str">
        <f t="shared" si="19"/>
        <v>No</v>
      </c>
      <c r="AA428" t="str">
        <f t="shared" si="20"/>
        <v>2013</v>
      </c>
    </row>
    <row r="429" spans="1:27" x14ac:dyDescent="0.35">
      <c r="A429">
        <v>428</v>
      </c>
      <c r="B429" t="s">
        <v>481</v>
      </c>
      <c r="C429" t="s">
        <v>19</v>
      </c>
      <c r="D429" s="1">
        <v>41369</v>
      </c>
      <c r="E429" t="s">
        <v>49</v>
      </c>
      <c r="F429" t="s">
        <v>20</v>
      </c>
      <c r="G429" t="s">
        <v>49</v>
      </c>
      <c r="H429" t="s">
        <v>50</v>
      </c>
      <c r="I429" t="s">
        <v>23</v>
      </c>
      <c r="J429">
        <v>0</v>
      </c>
      <c r="K429" t="s">
        <v>20</v>
      </c>
      <c r="L429">
        <v>0</v>
      </c>
      <c r="M429">
        <v>6</v>
      </c>
      <c r="N429" t="s">
        <v>511</v>
      </c>
      <c r="O429" t="s">
        <v>25</v>
      </c>
      <c r="P429" t="s">
        <v>138</v>
      </c>
      <c r="Q429" t="s">
        <v>259</v>
      </c>
      <c r="U429" t="str">
        <f t="shared" si="18"/>
        <v>Chasing Won</v>
      </c>
      <c r="X429" t="str">
        <f t="shared" si="19"/>
        <v>No</v>
      </c>
      <c r="AA429" t="str">
        <f t="shared" si="20"/>
        <v>2013</v>
      </c>
    </row>
    <row r="430" spans="1:27" x14ac:dyDescent="0.35">
      <c r="A430">
        <v>429</v>
      </c>
      <c r="B430" t="s">
        <v>481</v>
      </c>
      <c r="C430" t="s">
        <v>48</v>
      </c>
      <c r="D430" t="s">
        <v>512</v>
      </c>
      <c r="E430" t="s">
        <v>21</v>
      </c>
      <c r="F430" t="s">
        <v>43</v>
      </c>
      <c r="G430" t="s">
        <v>43</v>
      </c>
      <c r="H430" t="s">
        <v>22</v>
      </c>
      <c r="I430" t="s">
        <v>23</v>
      </c>
      <c r="J430">
        <v>0</v>
      </c>
      <c r="K430" t="s">
        <v>43</v>
      </c>
      <c r="L430">
        <v>0</v>
      </c>
      <c r="M430">
        <v>7</v>
      </c>
      <c r="N430" t="s">
        <v>179</v>
      </c>
      <c r="O430" t="s">
        <v>52</v>
      </c>
      <c r="P430" t="s">
        <v>256</v>
      </c>
      <c r="Q430" t="s">
        <v>34</v>
      </c>
      <c r="U430" t="str">
        <f t="shared" si="18"/>
        <v>Chasing Won</v>
      </c>
      <c r="X430" t="str">
        <f t="shared" si="19"/>
        <v>Yes</v>
      </c>
      <c r="AA430" t="str">
        <f t="shared" si="20"/>
        <v>2013</v>
      </c>
    </row>
    <row r="431" spans="1:27" x14ac:dyDescent="0.35">
      <c r="A431">
        <v>430</v>
      </c>
      <c r="B431" t="s">
        <v>481</v>
      </c>
      <c r="C431" t="s">
        <v>55</v>
      </c>
      <c r="D431" s="1">
        <v>41399</v>
      </c>
      <c r="E431" t="s">
        <v>29</v>
      </c>
      <c r="F431" t="s">
        <v>141</v>
      </c>
      <c r="G431" t="s">
        <v>29</v>
      </c>
      <c r="H431" t="s">
        <v>50</v>
      </c>
      <c r="I431" t="s">
        <v>23</v>
      </c>
      <c r="J431">
        <v>0</v>
      </c>
      <c r="K431" t="s">
        <v>29</v>
      </c>
      <c r="L431">
        <v>60</v>
      </c>
      <c r="M431">
        <v>0</v>
      </c>
      <c r="N431" t="s">
        <v>513</v>
      </c>
      <c r="O431" t="s">
        <v>57</v>
      </c>
      <c r="P431" t="s">
        <v>256</v>
      </c>
      <c r="Q431" t="s">
        <v>41</v>
      </c>
      <c r="U431" t="str">
        <f t="shared" si="18"/>
        <v>Batting First Won</v>
      </c>
      <c r="X431" t="str">
        <f t="shared" si="19"/>
        <v>Yes</v>
      </c>
      <c r="AA431" t="str">
        <f t="shared" si="20"/>
        <v>2013</v>
      </c>
    </row>
    <row r="432" spans="1:27" x14ac:dyDescent="0.35">
      <c r="A432">
        <v>431</v>
      </c>
      <c r="B432" t="s">
        <v>481</v>
      </c>
      <c r="C432" t="s">
        <v>158</v>
      </c>
      <c r="D432" s="1">
        <v>41399</v>
      </c>
      <c r="E432" t="s">
        <v>373</v>
      </c>
      <c r="F432" t="s">
        <v>146</v>
      </c>
      <c r="G432" t="s">
        <v>373</v>
      </c>
      <c r="H432" t="s">
        <v>50</v>
      </c>
      <c r="I432" t="s">
        <v>23</v>
      </c>
      <c r="J432">
        <v>0</v>
      </c>
      <c r="K432" t="s">
        <v>146</v>
      </c>
      <c r="L432">
        <v>0</v>
      </c>
      <c r="M432">
        <v>5</v>
      </c>
      <c r="N432" t="s">
        <v>428</v>
      </c>
      <c r="O432" t="s">
        <v>161</v>
      </c>
      <c r="P432" t="s">
        <v>47</v>
      </c>
      <c r="Q432" t="s">
        <v>387</v>
      </c>
      <c r="U432" t="str">
        <f t="shared" si="18"/>
        <v>Chasing Won</v>
      </c>
      <c r="X432" t="str">
        <f t="shared" si="19"/>
        <v>No</v>
      </c>
      <c r="AA432" t="str">
        <f t="shared" si="20"/>
        <v>2013</v>
      </c>
    </row>
    <row r="433" spans="1:27" x14ac:dyDescent="0.35">
      <c r="A433">
        <v>432</v>
      </c>
      <c r="B433" t="s">
        <v>481</v>
      </c>
      <c r="C433" t="s">
        <v>48</v>
      </c>
      <c r="D433" s="1">
        <v>41521</v>
      </c>
      <c r="E433" t="s">
        <v>20</v>
      </c>
      <c r="F433" t="s">
        <v>21</v>
      </c>
      <c r="G433" t="s">
        <v>20</v>
      </c>
      <c r="H433" t="s">
        <v>50</v>
      </c>
      <c r="I433" t="s">
        <v>23</v>
      </c>
      <c r="J433">
        <v>0</v>
      </c>
      <c r="K433" t="s">
        <v>21</v>
      </c>
      <c r="L433">
        <v>0</v>
      </c>
      <c r="M433">
        <v>7</v>
      </c>
      <c r="N433" t="s">
        <v>396</v>
      </c>
      <c r="O433" t="s">
        <v>52</v>
      </c>
      <c r="P433" t="s">
        <v>34</v>
      </c>
      <c r="Q433" t="s">
        <v>244</v>
      </c>
      <c r="U433" t="str">
        <f t="shared" si="18"/>
        <v>Chasing Won</v>
      </c>
      <c r="X433" t="str">
        <f t="shared" si="19"/>
        <v>No</v>
      </c>
      <c r="AA433" t="str">
        <f t="shared" si="20"/>
        <v>2013</v>
      </c>
    </row>
    <row r="434" spans="1:27" x14ac:dyDescent="0.35">
      <c r="A434">
        <v>433</v>
      </c>
      <c r="B434" t="s">
        <v>481</v>
      </c>
      <c r="C434" t="s">
        <v>158</v>
      </c>
      <c r="D434" s="1">
        <v>41460</v>
      </c>
      <c r="E434" t="s">
        <v>49</v>
      </c>
      <c r="F434" t="s">
        <v>146</v>
      </c>
      <c r="G434" t="s">
        <v>49</v>
      </c>
      <c r="H434" t="s">
        <v>50</v>
      </c>
      <c r="I434" t="s">
        <v>23</v>
      </c>
      <c r="J434">
        <v>0</v>
      </c>
      <c r="K434" t="s">
        <v>146</v>
      </c>
      <c r="L434">
        <v>0</v>
      </c>
      <c r="M434">
        <v>9</v>
      </c>
      <c r="N434" t="s">
        <v>428</v>
      </c>
      <c r="O434" t="s">
        <v>161</v>
      </c>
      <c r="P434" t="s">
        <v>148</v>
      </c>
      <c r="Q434" t="s">
        <v>387</v>
      </c>
      <c r="U434" t="str">
        <f t="shared" si="18"/>
        <v>Chasing Won</v>
      </c>
      <c r="X434" t="str">
        <f t="shared" si="19"/>
        <v>No</v>
      </c>
      <c r="AA434" t="str">
        <f t="shared" si="20"/>
        <v>2013</v>
      </c>
    </row>
    <row r="435" spans="1:27" x14ac:dyDescent="0.35">
      <c r="A435">
        <v>434</v>
      </c>
      <c r="B435" t="s">
        <v>481</v>
      </c>
      <c r="C435" t="s">
        <v>55</v>
      </c>
      <c r="D435" s="1">
        <v>41460</v>
      </c>
      <c r="E435" t="s">
        <v>29</v>
      </c>
      <c r="F435" t="s">
        <v>37</v>
      </c>
      <c r="G435" t="s">
        <v>29</v>
      </c>
      <c r="H435" t="s">
        <v>50</v>
      </c>
      <c r="I435" t="s">
        <v>23</v>
      </c>
      <c r="J435">
        <v>0</v>
      </c>
      <c r="K435" t="s">
        <v>29</v>
      </c>
      <c r="L435">
        <v>65</v>
      </c>
      <c r="M435">
        <v>0</v>
      </c>
      <c r="N435" t="s">
        <v>233</v>
      </c>
      <c r="O435" t="s">
        <v>57</v>
      </c>
      <c r="P435" t="s">
        <v>256</v>
      </c>
      <c r="Q435" t="s">
        <v>34</v>
      </c>
      <c r="U435" t="str">
        <f t="shared" si="18"/>
        <v>Batting First Won</v>
      </c>
      <c r="X435" t="str">
        <f t="shared" si="19"/>
        <v>Yes</v>
      </c>
      <c r="AA435" t="str">
        <f t="shared" si="20"/>
        <v>2013</v>
      </c>
    </row>
    <row r="436" spans="1:27" x14ac:dyDescent="0.35">
      <c r="A436">
        <v>435</v>
      </c>
      <c r="B436" t="s">
        <v>481</v>
      </c>
      <c r="C436" t="s">
        <v>19</v>
      </c>
      <c r="D436" s="1">
        <v>41491</v>
      </c>
      <c r="E436" t="s">
        <v>141</v>
      </c>
      <c r="F436" t="s">
        <v>20</v>
      </c>
      <c r="G436" t="s">
        <v>20</v>
      </c>
      <c r="H436" t="s">
        <v>22</v>
      </c>
      <c r="I436" t="s">
        <v>23</v>
      </c>
      <c r="J436">
        <v>0</v>
      </c>
      <c r="K436" t="s">
        <v>141</v>
      </c>
      <c r="L436">
        <v>77</v>
      </c>
      <c r="M436">
        <v>0</v>
      </c>
      <c r="N436" t="s">
        <v>90</v>
      </c>
      <c r="O436" t="s">
        <v>25</v>
      </c>
      <c r="P436" t="s">
        <v>315</v>
      </c>
      <c r="Q436" t="s">
        <v>27</v>
      </c>
      <c r="U436" t="str">
        <f t="shared" si="18"/>
        <v>Batting First Won</v>
      </c>
      <c r="X436" t="str">
        <f t="shared" si="19"/>
        <v>No</v>
      </c>
      <c r="AA436" t="str">
        <f t="shared" si="20"/>
        <v>2013</v>
      </c>
    </row>
    <row r="437" spans="1:27" x14ac:dyDescent="0.35">
      <c r="A437">
        <v>436</v>
      </c>
      <c r="B437" t="s">
        <v>481</v>
      </c>
      <c r="C437" t="s">
        <v>101</v>
      </c>
      <c r="D437" s="1">
        <v>41522</v>
      </c>
      <c r="E437" t="s">
        <v>43</v>
      </c>
      <c r="F437" t="s">
        <v>146</v>
      </c>
      <c r="G437" t="s">
        <v>146</v>
      </c>
      <c r="H437" t="s">
        <v>22</v>
      </c>
      <c r="I437" t="s">
        <v>23</v>
      </c>
      <c r="J437">
        <v>0</v>
      </c>
      <c r="K437" t="s">
        <v>146</v>
      </c>
      <c r="L437">
        <v>0</v>
      </c>
      <c r="M437">
        <v>8</v>
      </c>
      <c r="N437" t="s">
        <v>514</v>
      </c>
      <c r="O437" t="s">
        <v>143</v>
      </c>
      <c r="P437" t="s">
        <v>256</v>
      </c>
      <c r="Q437" t="s">
        <v>34</v>
      </c>
      <c r="U437" t="str">
        <f t="shared" si="18"/>
        <v>Chasing Won</v>
      </c>
      <c r="X437" t="str">
        <f t="shared" si="19"/>
        <v>Yes</v>
      </c>
      <c r="AA437" t="str">
        <f t="shared" si="20"/>
        <v>2013</v>
      </c>
    </row>
    <row r="438" spans="1:27" x14ac:dyDescent="0.35">
      <c r="A438">
        <v>437</v>
      </c>
      <c r="B438" t="s">
        <v>481</v>
      </c>
      <c r="C438" t="s">
        <v>28</v>
      </c>
      <c r="D438" s="1">
        <v>41522</v>
      </c>
      <c r="E438" t="s">
        <v>37</v>
      </c>
      <c r="F438" t="s">
        <v>373</v>
      </c>
      <c r="G438" t="s">
        <v>37</v>
      </c>
      <c r="H438" t="s">
        <v>50</v>
      </c>
      <c r="I438" t="s">
        <v>23</v>
      </c>
      <c r="J438">
        <v>0</v>
      </c>
      <c r="K438" t="s">
        <v>37</v>
      </c>
      <c r="L438">
        <v>46</v>
      </c>
      <c r="M438">
        <v>0</v>
      </c>
      <c r="N438" t="s">
        <v>100</v>
      </c>
      <c r="O438" t="s">
        <v>434</v>
      </c>
      <c r="P438" t="s">
        <v>138</v>
      </c>
      <c r="Q438" t="s">
        <v>259</v>
      </c>
      <c r="U438" t="str">
        <f t="shared" si="18"/>
        <v>Batting First Won</v>
      </c>
      <c r="X438" t="str">
        <f t="shared" si="19"/>
        <v>Yes</v>
      </c>
      <c r="AA438" t="str">
        <f t="shared" si="20"/>
        <v>2013</v>
      </c>
    </row>
    <row r="439" spans="1:27" x14ac:dyDescent="0.35">
      <c r="A439">
        <v>438</v>
      </c>
      <c r="B439" t="s">
        <v>481</v>
      </c>
      <c r="C439" t="s">
        <v>71</v>
      </c>
      <c r="D439" s="1">
        <v>41552</v>
      </c>
      <c r="E439" t="s">
        <v>21</v>
      </c>
      <c r="F439" t="s">
        <v>49</v>
      </c>
      <c r="G439" t="s">
        <v>49</v>
      </c>
      <c r="H439" t="s">
        <v>22</v>
      </c>
      <c r="I439" t="s">
        <v>23</v>
      </c>
      <c r="J439">
        <v>0</v>
      </c>
      <c r="K439" t="s">
        <v>21</v>
      </c>
      <c r="L439">
        <v>4</v>
      </c>
      <c r="M439">
        <v>0</v>
      </c>
      <c r="N439" t="s">
        <v>114</v>
      </c>
      <c r="O439" t="s">
        <v>73</v>
      </c>
      <c r="P439" t="s">
        <v>27</v>
      </c>
      <c r="Q439" t="s">
        <v>485</v>
      </c>
      <c r="U439" t="str">
        <f t="shared" si="18"/>
        <v>Batting First Won</v>
      </c>
      <c r="X439" t="str">
        <f t="shared" si="19"/>
        <v>No</v>
      </c>
      <c r="AA439" t="str">
        <f t="shared" si="20"/>
        <v>2013</v>
      </c>
    </row>
    <row r="440" spans="1:27" x14ac:dyDescent="0.35">
      <c r="A440">
        <v>439</v>
      </c>
      <c r="B440" t="s">
        <v>481</v>
      </c>
      <c r="C440" t="s">
        <v>28</v>
      </c>
      <c r="D440" s="1">
        <v>41583</v>
      </c>
      <c r="E440" t="s">
        <v>373</v>
      </c>
      <c r="F440" t="s">
        <v>29</v>
      </c>
      <c r="G440" t="s">
        <v>373</v>
      </c>
      <c r="H440" t="s">
        <v>50</v>
      </c>
      <c r="I440" t="s">
        <v>23</v>
      </c>
      <c r="J440">
        <v>0</v>
      </c>
      <c r="K440" t="s">
        <v>29</v>
      </c>
      <c r="L440">
        <v>0</v>
      </c>
      <c r="M440">
        <v>5</v>
      </c>
      <c r="N440" t="s">
        <v>513</v>
      </c>
      <c r="O440" t="s">
        <v>434</v>
      </c>
      <c r="P440" t="s">
        <v>138</v>
      </c>
      <c r="Q440" t="s">
        <v>46</v>
      </c>
      <c r="U440" t="str">
        <f t="shared" si="18"/>
        <v>Chasing Won</v>
      </c>
      <c r="X440" t="str">
        <f t="shared" si="19"/>
        <v>No</v>
      </c>
      <c r="AA440" t="str">
        <f t="shared" si="20"/>
        <v>2013</v>
      </c>
    </row>
    <row r="441" spans="1:27" x14ac:dyDescent="0.35">
      <c r="A441">
        <v>440</v>
      </c>
      <c r="B441" t="s">
        <v>481</v>
      </c>
      <c r="C441" t="s">
        <v>101</v>
      </c>
      <c r="D441" s="1">
        <v>41583</v>
      </c>
      <c r="E441" t="s">
        <v>20</v>
      </c>
      <c r="F441" t="s">
        <v>43</v>
      </c>
      <c r="G441" t="s">
        <v>43</v>
      </c>
      <c r="H441" t="s">
        <v>22</v>
      </c>
      <c r="I441" t="s">
        <v>23</v>
      </c>
      <c r="J441">
        <v>0</v>
      </c>
      <c r="K441" t="s">
        <v>20</v>
      </c>
      <c r="L441">
        <v>30</v>
      </c>
      <c r="M441">
        <v>0</v>
      </c>
      <c r="N441" t="s">
        <v>515</v>
      </c>
      <c r="O441" t="s">
        <v>143</v>
      </c>
      <c r="P441" t="s">
        <v>315</v>
      </c>
      <c r="Q441" t="s">
        <v>387</v>
      </c>
      <c r="U441" t="str">
        <f t="shared" si="18"/>
        <v>Batting First Won</v>
      </c>
      <c r="X441" t="str">
        <f t="shared" si="19"/>
        <v>No</v>
      </c>
      <c r="AA441" t="str">
        <f t="shared" si="20"/>
        <v>2013</v>
      </c>
    </row>
    <row r="442" spans="1:27" x14ac:dyDescent="0.35">
      <c r="A442">
        <v>441</v>
      </c>
      <c r="B442" t="s">
        <v>481</v>
      </c>
      <c r="C442" t="s">
        <v>516</v>
      </c>
      <c r="D442" s="1">
        <v>41613</v>
      </c>
      <c r="E442" t="s">
        <v>21</v>
      </c>
      <c r="F442" t="s">
        <v>37</v>
      </c>
      <c r="G442" t="s">
        <v>37</v>
      </c>
      <c r="H442" t="s">
        <v>22</v>
      </c>
      <c r="I442" t="s">
        <v>23</v>
      </c>
      <c r="J442">
        <v>0</v>
      </c>
      <c r="K442" t="s">
        <v>37</v>
      </c>
      <c r="L442">
        <v>0</v>
      </c>
      <c r="M442">
        <v>5</v>
      </c>
      <c r="N442" t="s">
        <v>276</v>
      </c>
      <c r="O442" t="s">
        <v>517</v>
      </c>
      <c r="P442" t="s">
        <v>27</v>
      </c>
      <c r="Q442" t="s">
        <v>485</v>
      </c>
      <c r="U442" t="str">
        <f t="shared" si="18"/>
        <v>Chasing Won</v>
      </c>
      <c r="X442" t="str">
        <f t="shared" si="19"/>
        <v>Yes</v>
      </c>
      <c r="AA442" t="str">
        <f t="shared" si="20"/>
        <v>2013</v>
      </c>
    </row>
    <row r="443" spans="1:27" x14ac:dyDescent="0.35">
      <c r="A443">
        <v>442</v>
      </c>
      <c r="B443" t="s">
        <v>481</v>
      </c>
      <c r="C443" t="s">
        <v>158</v>
      </c>
      <c r="D443" s="1">
        <v>41613</v>
      </c>
      <c r="E443" t="s">
        <v>141</v>
      </c>
      <c r="F443" t="s">
        <v>146</v>
      </c>
      <c r="G443" t="s">
        <v>146</v>
      </c>
      <c r="H443" t="s">
        <v>22</v>
      </c>
      <c r="I443" t="s">
        <v>23</v>
      </c>
      <c r="J443">
        <v>0</v>
      </c>
      <c r="K443" t="s">
        <v>146</v>
      </c>
      <c r="L443">
        <v>0</v>
      </c>
      <c r="M443">
        <v>5</v>
      </c>
      <c r="N443" t="s">
        <v>160</v>
      </c>
      <c r="O443" t="s">
        <v>161</v>
      </c>
      <c r="P443" t="s">
        <v>256</v>
      </c>
      <c r="Q443" t="s">
        <v>41</v>
      </c>
      <c r="U443" t="str">
        <f t="shared" si="18"/>
        <v>Chasing Won</v>
      </c>
      <c r="X443" t="str">
        <f t="shared" si="19"/>
        <v>Yes</v>
      </c>
      <c r="AA443" t="str">
        <f t="shared" si="20"/>
        <v>2013</v>
      </c>
    </row>
    <row r="444" spans="1:27" x14ac:dyDescent="0.35">
      <c r="A444">
        <v>443</v>
      </c>
      <c r="B444" t="s">
        <v>481</v>
      </c>
      <c r="C444" t="s">
        <v>71</v>
      </c>
      <c r="D444" t="s">
        <v>500</v>
      </c>
      <c r="E444" t="s">
        <v>49</v>
      </c>
      <c r="F444" t="s">
        <v>43</v>
      </c>
      <c r="G444" t="s">
        <v>43</v>
      </c>
      <c r="H444" t="s">
        <v>22</v>
      </c>
      <c r="I444" t="s">
        <v>23</v>
      </c>
      <c r="J444">
        <v>0</v>
      </c>
      <c r="K444" t="s">
        <v>43</v>
      </c>
      <c r="L444">
        <v>0</v>
      </c>
      <c r="M444">
        <v>5</v>
      </c>
      <c r="N444" t="s">
        <v>348</v>
      </c>
      <c r="O444" t="s">
        <v>73</v>
      </c>
      <c r="P444" t="s">
        <v>432</v>
      </c>
      <c r="Q444" t="s">
        <v>485</v>
      </c>
      <c r="U444" t="str">
        <f t="shared" si="18"/>
        <v>Chasing Won</v>
      </c>
      <c r="X444" t="str">
        <f t="shared" si="19"/>
        <v>Yes</v>
      </c>
      <c r="AA444" t="str">
        <f t="shared" si="20"/>
        <v>2013</v>
      </c>
    </row>
    <row r="445" spans="1:27" x14ac:dyDescent="0.35">
      <c r="A445">
        <v>444</v>
      </c>
      <c r="B445" t="s">
        <v>481</v>
      </c>
      <c r="C445" t="s">
        <v>55</v>
      </c>
      <c r="D445" t="s">
        <v>518</v>
      </c>
      <c r="E445" t="s">
        <v>20</v>
      </c>
      <c r="F445" t="s">
        <v>29</v>
      </c>
      <c r="G445" t="s">
        <v>20</v>
      </c>
      <c r="H445" t="s">
        <v>50</v>
      </c>
      <c r="I445" t="s">
        <v>23</v>
      </c>
      <c r="J445">
        <v>0</v>
      </c>
      <c r="K445" t="s">
        <v>29</v>
      </c>
      <c r="L445">
        <v>0</v>
      </c>
      <c r="M445">
        <v>7</v>
      </c>
      <c r="N445" t="s">
        <v>66</v>
      </c>
      <c r="O445" t="s">
        <v>57</v>
      </c>
      <c r="P445" t="s">
        <v>46</v>
      </c>
      <c r="Q445" t="s">
        <v>244</v>
      </c>
      <c r="U445" t="str">
        <f t="shared" si="18"/>
        <v>Chasing Won</v>
      </c>
      <c r="X445" t="str">
        <f t="shared" si="19"/>
        <v>No</v>
      </c>
      <c r="AA445" t="str">
        <f t="shared" si="20"/>
        <v>2013</v>
      </c>
    </row>
    <row r="446" spans="1:27" x14ac:dyDescent="0.35">
      <c r="A446">
        <v>445</v>
      </c>
      <c r="B446" t="s">
        <v>481</v>
      </c>
      <c r="C446" t="s">
        <v>516</v>
      </c>
      <c r="D446" t="s">
        <v>519</v>
      </c>
      <c r="E446" t="s">
        <v>373</v>
      </c>
      <c r="F446" t="s">
        <v>37</v>
      </c>
      <c r="G446" t="s">
        <v>37</v>
      </c>
      <c r="H446" t="s">
        <v>22</v>
      </c>
      <c r="I446" t="s">
        <v>23</v>
      </c>
      <c r="J446">
        <v>0</v>
      </c>
      <c r="K446" t="s">
        <v>373</v>
      </c>
      <c r="L446">
        <v>7</v>
      </c>
      <c r="M446">
        <v>0</v>
      </c>
      <c r="N446" t="s">
        <v>300</v>
      </c>
      <c r="O446" t="s">
        <v>517</v>
      </c>
      <c r="P446" t="s">
        <v>27</v>
      </c>
      <c r="Q446" t="s">
        <v>485</v>
      </c>
      <c r="U446" t="str">
        <f t="shared" si="18"/>
        <v>Batting First Won</v>
      </c>
      <c r="X446" t="str">
        <f t="shared" si="19"/>
        <v>No</v>
      </c>
      <c r="AA446" t="str">
        <f t="shared" si="20"/>
        <v>2013</v>
      </c>
    </row>
    <row r="447" spans="1:27" x14ac:dyDescent="0.35">
      <c r="A447">
        <v>446</v>
      </c>
      <c r="B447" t="s">
        <v>481</v>
      </c>
      <c r="C447" t="s">
        <v>167</v>
      </c>
      <c r="D447" t="s">
        <v>512</v>
      </c>
      <c r="E447" t="s">
        <v>141</v>
      </c>
      <c r="F447" t="s">
        <v>49</v>
      </c>
      <c r="G447" t="s">
        <v>141</v>
      </c>
      <c r="H447" t="s">
        <v>50</v>
      </c>
      <c r="I447" t="s">
        <v>23</v>
      </c>
      <c r="J447">
        <v>0</v>
      </c>
      <c r="K447" t="s">
        <v>141</v>
      </c>
      <c r="L447">
        <v>33</v>
      </c>
      <c r="M447">
        <v>0</v>
      </c>
      <c r="N447" t="s">
        <v>93</v>
      </c>
      <c r="O447" t="s">
        <v>170</v>
      </c>
      <c r="P447" t="s">
        <v>47</v>
      </c>
      <c r="Q447" t="s">
        <v>387</v>
      </c>
      <c r="U447" t="str">
        <f t="shared" si="18"/>
        <v>Batting First Won</v>
      </c>
      <c r="X447" t="str">
        <f t="shared" si="19"/>
        <v>Yes</v>
      </c>
      <c r="AA447" t="str">
        <f t="shared" si="20"/>
        <v>2013</v>
      </c>
    </row>
    <row r="448" spans="1:27" x14ac:dyDescent="0.35">
      <c r="A448">
        <v>447</v>
      </c>
      <c r="B448" t="s">
        <v>481</v>
      </c>
      <c r="C448" t="s">
        <v>55</v>
      </c>
      <c r="D448" t="s">
        <v>519</v>
      </c>
      <c r="E448" t="s">
        <v>29</v>
      </c>
      <c r="F448" t="s">
        <v>146</v>
      </c>
      <c r="G448" t="s">
        <v>146</v>
      </c>
      <c r="H448" t="s">
        <v>22</v>
      </c>
      <c r="I448" t="s">
        <v>23</v>
      </c>
      <c r="J448">
        <v>0</v>
      </c>
      <c r="K448" t="s">
        <v>29</v>
      </c>
      <c r="L448">
        <v>14</v>
      </c>
      <c r="M448">
        <v>0</v>
      </c>
      <c r="N448" t="s">
        <v>520</v>
      </c>
      <c r="O448" t="s">
        <v>57</v>
      </c>
      <c r="P448" t="s">
        <v>138</v>
      </c>
      <c r="Q448" t="s">
        <v>259</v>
      </c>
      <c r="U448" t="str">
        <f t="shared" si="18"/>
        <v>Batting First Won</v>
      </c>
      <c r="X448" t="str">
        <f t="shared" si="19"/>
        <v>No</v>
      </c>
      <c r="AA448" t="str">
        <f t="shared" si="20"/>
        <v>2013</v>
      </c>
    </row>
    <row r="449" spans="1:27" x14ac:dyDescent="0.35">
      <c r="A449">
        <v>448</v>
      </c>
      <c r="B449" t="s">
        <v>481</v>
      </c>
      <c r="C449" t="s">
        <v>101</v>
      </c>
      <c r="D449" s="1">
        <v>41430</v>
      </c>
      <c r="E449" t="s">
        <v>21</v>
      </c>
      <c r="F449" t="s">
        <v>43</v>
      </c>
      <c r="G449" t="s">
        <v>43</v>
      </c>
      <c r="H449" t="s">
        <v>22</v>
      </c>
      <c r="I449" t="s">
        <v>23</v>
      </c>
      <c r="J449">
        <v>0</v>
      </c>
      <c r="K449" t="s">
        <v>43</v>
      </c>
      <c r="L449">
        <v>0</v>
      </c>
      <c r="M449">
        <v>6</v>
      </c>
      <c r="N449" t="s">
        <v>498</v>
      </c>
      <c r="O449" t="s">
        <v>143</v>
      </c>
      <c r="P449" t="s">
        <v>432</v>
      </c>
      <c r="Q449" t="s">
        <v>27</v>
      </c>
      <c r="U449" t="str">
        <f t="shared" si="18"/>
        <v>Chasing Won</v>
      </c>
      <c r="X449" t="str">
        <f t="shared" si="19"/>
        <v>Yes</v>
      </c>
      <c r="AA449" t="str">
        <f t="shared" si="20"/>
        <v>2013</v>
      </c>
    </row>
    <row r="450" spans="1:27" x14ac:dyDescent="0.35">
      <c r="A450">
        <v>449</v>
      </c>
      <c r="B450" t="s">
        <v>481</v>
      </c>
      <c r="C450" t="s">
        <v>19</v>
      </c>
      <c r="D450" t="s">
        <v>521</v>
      </c>
      <c r="E450" t="s">
        <v>20</v>
      </c>
      <c r="F450" t="s">
        <v>146</v>
      </c>
      <c r="G450" t="s">
        <v>20</v>
      </c>
      <c r="H450" t="s">
        <v>50</v>
      </c>
      <c r="I450" t="s">
        <v>23</v>
      </c>
      <c r="J450">
        <v>0</v>
      </c>
      <c r="K450" t="s">
        <v>20</v>
      </c>
      <c r="L450">
        <v>23</v>
      </c>
      <c r="M450">
        <v>0</v>
      </c>
      <c r="N450" t="s">
        <v>207</v>
      </c>
      <c r="O450" t="s">
        <v>25</v>
      </c>
      <c r="P450" t="s">
        <v>138</v>
      </c>
      <c r="Q450" t="s">
        <v>46</v>
      </c>
      <c r="U450" t="str">
        <f t="shared" si="18"/>
        <v>Batting First Won</v>
      </c>
      <c r="X450" t="str">
        <f t="shared" si="19"/>
        <v>Yes</v>
      </c>
      <c r="AA450" t="str">
        <f t="shared" si="20"/>
        <v>2013</v>
      </c>
    </row>
    <row r="451" spans="1:27" x14ac:dyDescent="0.35">
      <c r="A451">
        <v>450</v>
      </c>
      <c r="B451" t="s">
        <v>481</v>
      </c>
      <c r="C451" t="s">
        <v>353</v>
      </c>
      <c r="D451" t="s">
        <v>522</v>
      </c>
      <c r="E451" t="s">
        <v>43</v>
      </c>
      <c r="F451" t="s">
        <v>29</v>
      </c>
      <c r="G451" t="s">
        <v>29</v>
      </c>
      <c r="H451" t="s">
        <v>22</v>
      </c>
      <c r="I451" t="s">
        <v>23</v>
      </c>
      <c r="J451">
        <v>0</v>
      </c>
      <c r="K451" t="s">
        <v>43</v>
      </c>
      <c r="L451">
        <v>50</v>
      </c>
      <c r="M451">
        <v>0</v>
      </c>
      <c r="N451" t="s">
        <v>464</v>
      </c>
      <c r="O451" t="s">
        <v>355</v>
      </c>
      <c r="P451" t="s">
        <v>256</v>
      </c>
      <c r="Q451" t="s">
        <v>41</v>
      </c>
      <c r="U451" t="str">
        <f t="shared" ref="U451:U514" si="21">IF(L451&gt;0,"Batting First Won","Chasing Won")</f>
        <v>Batting First Won</v>
      </c>
      <c r="X451" t="str">
        <f t="shared" ref="X451:X514" si="22">IF(G451=K451,"Yes","No")</f>
        <v>No</v>
      </c>
      <c r="AA451" t="str">
        <f t="shared" ref="AA451:AA514" si="23">RIGHT(B451,4)</f>
        <v>2013</v>
      </c>
    </row>
    <row r="452" spans="1:27" x14ac:dyDescent="0.35">
      <c r="A452">
        <v>451</v>
      </c>
      <c r="B452" t="s">
        <v>481</v>
      </c>
      <c r="C452" t="s">
        <v>28</v>
      </c>
      <c r="D452" t="s">
        <v>523</v>
      </c>
      <c r="E452" t="s">
        <v>373</v>
      </c>
      <c r="F452" t="s">
        <v>49</v>
      </c>
      <c r="G452" t="s">
        <v>373</v>
      </c>
      <c r="H452" t="s">
        <v>50</v>
      </c>
      <c r="I452" t="s">
        <v>23</v>
      </c>
      <c r="J452">
        <v>0</v>
      </c>
      <c r="K452" t="s">
        <v>373</v>
      </c>
      <c r="L452">
        <v>38</v>
      </c>
      <c r="M452">
        <v>0</v>
      </c>
      <c r="N452" t="s">
        <v>524</v>
      </c>
      <c r="O452" t="s">
        <v>434</v>
      </c>
      <c r="P452" t="s">
        <v>27</v>
      </c>
      <c r="Q452" t="s">
        <v>244</v>
      </c>
      <c r="U452" t="str">
        <f t="shared" si="21"/>
        <v>Batting First Won</v>
      </c>
      <c r="X452" t="str">
        <f t="shared" si="22"/>
        <v>Yes</v>
      </c>
      <c r="AA452" t="str">
        <f t="shared" si="23"/>
        <v>2013</v>
      </c>
    </row>
    <row r="453" spans="1:27" x14ac:dyDescent="0.35">
      <c r="A453">
        <v>452</v>
      </c>
      <c r="B453" t="s">
        <v>481</v>
      </c>
      <c r="C453" t="s">
        <v>48</v>
      </c>
      <c r="D453" t="s">
        <v>522</v>
      </c>
      <c r="E453" t="s">
        <v>21</v>
      </c>
      <c r="F453" t="s">
        <v>141</v>
      </c>
      <c r="G453" t="s">
        <v>141</v>
      </c>
      <c r="H453" t="s">
        <v>22</v>
      </c>
      <c r="I453" t="s">
        <v>23</v>
      </c>
      <c r="J453">
        <v>0</v>
      </c>
      <c r="K453" t="s">
        <v>21</v>
      </c>
      <c r="L453">
        <v>24</v>
      </c>
      <c r="M453">
        <v>0</v>
      </c>
      <c r="N453" t="s">
        <v>396</v>
      </c>
      <c r="O453" t="s">
        <v>52</v>
      </c>
      <c r="P453" t="s">
        <v>47</v>
      </c>
      <c r="Q453" t="s">
        <v>387</v>
      </c>
      <c r="U453" t="str">
        <f t="shared" si="21"/>
        <v>Batting First Won</v>
      </c>
      <c r="X453" t="str">
        <f t="shared" si="22"/>
        <v>No</v>
      </c>
      <c r="AA453" t="str">
        <f t="shared" si="23"/>
        <v>2013</v>
      </c>
    </row>
    <row r="454" spans="1:27" x14ac:dyDescent="0.35">
      <c r="A454">
        <v>453</v>
      </c>
      <c r="B454" t="s">
        <v>481</v>
      </c>
      <c r="C454" t="s">
        <v>19</v>
      </c>
      <c r="D454" t="s">
        <v>523</v>
      </c>
      <c r="E454" t="s">
        <v>37</v>
      </c>
      <c r="F454" t="s">
        <v>20</v>
      </c>
      <c r="G454" t="s">
        <v>37</v>
      </c>
      <c r="H454" t="s">
        <v>50</v>
      </c>
      <c r="I454" t="s">
        <v>23</v>
      </c>
      <c r="J454">
        <v>0</v>
      </c>
      <c r="K454" t="s">
        <v>20</v>
      </c>
      <c r="L454">
        <v>0</v>
      </c>
      <c r="M454">
        <v>5</v>
      </c>
      <c r="N454" t="s">
        <v>515</v>
      </c>
      <c r="O454" t="s">
        <v>25</v>
      </c>
      <c r="P454" t="s">
        <v>138</v>
      </c>
      <c r="Q454" t="s">
        <v>259</v>
      </c>
      <c r="U454" t="str">
        <f t="shared" si="21"/>
        <v>Chasing Won</v>
      </c>
      <c r="X454" t="str">
        <f t="shared" si="22"/>
        <v>No</v>
      </c>
      <c r="AA454" t="str">
        <f t="shared" si="23"/>
        <v>2013</v>
      </c>
    </row>
    <row r="455" spans="1:27" x14ac:dyDescent="0.35">
      <c r="A455">
        <v>454</v>
      </c>
      <c r="B455" t="s">
        <v>481</v>
      </c>
      <c r="C455" t="s">
        <v>71</v>
      </c>
      <c r="D455" t="s">
        <v>525</v>
      </c>
      <c r="E455" t="s">
        <v>141</v>
      </c>
      <c r="F455" t="s">
        <v>29</v>
      </c>
      <c r="G455" t="s">
        <v>141</v>
      </c>
      <c r="H455" t="s">
        <v>50</v>
      </c>
      <c r="I455" t="s">
        <v>23</v>
      </c>
      <c r="J455">
        <v>0</v>
      </c>
      <c r="K455" t="s">
        <v>141</v>
      </c>
      <c r="L455">
        <v>48</v>
      </c>
      <c r="M455">
        <v>0</v>
      </c>
      <c r="N455" t="s">
        <v>142</v>
      </c>
      <c r="O455" t="s">
        <v>73</v>
      </c>
      <c r="P455" t="s">
        <v>27</v>
      </c>
      <c r="Q455" t="s">
        <v>387</v>
      </c>
      <c r="U455" t="str">
        <f t="shared" si="21"/>
        <v>Batting First Won</v>
      </c>
      <c r="X455" t="str">
        <f t="shared" si="22"/>
        <v>Yes</v>
      </c>
      <c r="AA455" t="str">
        <f t="shared" si="23"/>
        <v>2013</v>
      </c>
    </row>
    <row r="456" spans="1:27" x14ac:dyDescent="0.35">
      <c r="A456">
        <v>455</v>
      </c>
      <c r="B456" t="s">
        <v>481</v>
      </c>
      <c r="C456" t="s">
        <v>71</v>
      </c>
      <c r="D456" t="s">
        <v>526</v>
      </c>
      <c r="E456" t="s">
        <v>20</v>
      </c>
      <c r="F456" t="s">
        <v>146</v>
      </c>
      <c r="G456" t="s">
        <v>20</v>
      </c>
      <c r="H456" t="s">
        <v>50</v>
      </c>
      <c r="I456" t="s">
        <v>23</v>
      </c>
      <c r="J456">
        <v>0</v>
      </c>
      <c r="K456" t="s">
        <v>146</v>
      </c>
      <c r="L456">
        <v>0</v>
      </c>
      <c r="M456">
        <v>4</v>
      </c>
      <c r="N456" t="s">
        <v>295</v>
      </c>
      <c r="O456" t="s">
        <v>73</v>
      </c>
      <c r="P456" t="s">
        <v>34</v>
      </c>
      <c r="Q456" t="s">
        <v>387</v>
      </c>
      <c r="U456" t="str">
        <f t="shared" si="21"/>
        <v>Chasing Won</v>
      </c>
      <c r="X456" t="str">
        <f t="shared" si="22"/>
        <v>No</v>
      </c>
      <c r="AA456" t="str">
        <f t="shared" si="23"/>
        <v>2013</v>
      </c>
    </row>
    <row r="457" spans="1:27" x14ac:dyDescent="0.35">
      <c r="A457">
        <v>456</v>
      </c>
      <c r="B457" t="s">
        <v>481</v>
      </c>
      <c r="C457" t="s">
        <v>61</v>
      </c>
      <c r="D457" t="s">
        <v>527</v>
      </c>
      <c r="E457" t="s">
        <v>146</v>
      </c>
      <c r="F457" t="s">
        <v>29</v>
      </c>
      <c r="G457" t="s">
        <v>146</v>
      </c>
      <c r="H457" t="s">
        <v>50</v>
      </c>
      <c r="I457" t="s">
        <v>23</v>
      </c>
      <c r="J457">
        <v>0</v>
      </c>
      <c r="K457" t="s">
        <v>29</v>
      </c>
      <c r="L457">
        <v>0</v>
      </c>
      <c r="M457">
        <v>4</v>
      </c>
      <c r="N457" t="s">
        <v>283</v>
      </c>
      <c r="O457" t="s">
        <v>64</v>
      </c>
      <c r="P457" t="s">
        <v>47</v>
      </c>
      <c r="Q457" t="s">
        <v>244</v>
      </c>
      <c r="U457" t="str">
        <f t="shared" si="21"/>
        <v>Chasing Won</v>
      </c>
      <c r="X457" t="str">
        <f t="shared" si="22"/>
        <v>No</v>
      </c>
      <c r="AA457" t="str">
        <f t="shared" si="23"/>
        <v>2013</v>
      </c>
    </row>
    <row r="458" spans="1:27" x14ac:dyDescent="0.35">
      <c r="A458">
        <v>457</v>
      </c>
      <c r="B458" t="s">
        <v>481</v>
      </c>
      <c r="C458" t="s">
        <v>61</v>
      </c>
      <c r="D458" t="s">
        <v>528</v>
      </c>
      <c r="E458" t="s">
        <v>29</v>
      </c>
      <c r="F458" t="s">
        <v>141</v>
      </c>
      <c r="G458" t="s">
        <v>29</v>
      </c>
      <c r="H458" t="s">
        <v>50</v>
      </c>
      <c r="I458" t="s">
        <v>23</v>
      </c>
      <c r="J458">
        <v>0</v>
      </c>
      <c r="K458" t="s">
        <v>29</v>
      </c>
      <c r="L458">
        <v>23</v>
      </c>
      <c r="M458">
        <v>0</v>
      </c>
      <c r="N458" t="s">
        <v>66</v>
      </c>
      <c r="O458" t="s">
        <v>64</v>
      </c>
      <c r="P458" t="s">
        <v>256</v>
      </c>
      <c r="Q458" t="s">
        <v>244</v>
      </c>
      <c r="U458" t="str">
        <f t="shared" si="21"/>
        <v>Batting First Won</v>
      </c>
      <c r="X458" t="str">
        <f t="shared" si="22"/>
        <v>Yes</v>
      </c>
      <c r="AA458" t="str">
        <f t="shared" si="23"/>
        <v>2013</v>
      </c>
    </row>
    <row r="459" spans="1:27" x14ac:dyDescent="0.35">
      <c r="A459">
        <v>458</v>
      </c>
      <c r="B459" t="s">
        <v>529</v>
      </c>
      <c r="C459" t="s">
        <v>530</v>
      </c>
      <c r="D459" t="s">
        <v>531</v>
      </c>
      <c r="E459" t="s">
        <v>37</v>
      </c>
      <c r="F459" t="s">
        <v>29</v>
      </c>
      <c r="G459" t="s">
        <v>37</v>
      </c>
      <c r="H459" t="s">
        <v>50</v>
      </c>
      <c r="I459" t="s">
        <v>23</v>
      </c>
      <c r="J459">
        <v>0</v>
      </c>
      <c r="K459" t="s">
        <v>37</v>
      </c>
      <c r="L459">
        <v>41</v>
      </c>
      <c r="M459">
        <v>0</v>
      </c>
      <c r="N459" t="s">
        <v>276</v>
      </c>
      <c r="O459" t="s">
        <v>532</v>
      </c>
      <c r="P459" t="s">
        <v>88</v>
      </c>
      <c r="Q459" t="s">
        <v>533</v>
      </c>
      <c r="U459" t="str">
        <f t="shared" si="21"/>
        <v>Batting First Won</v>
      </c>
      <c r="X459" t="str">
        <f t="shared" si="22"/>
        <v>Yes</v>
      </c>
      <c r="AA459" t="str">
        <f t="shared" si="23"/>
        <v>2014</v>
      </c>
    </row>
    <row r="460" spans="1:27" x14ac:dyDescent="0.35">
      <c r="A460">
        <v>459</v>
      </c>
      <c r="B460" t="s">
        <v>529</v>
      </c>
      <c r="C460" t="s">
        <v>534</v>
      </c>
      <c r="D460" t="s">
        <v>535</v>
      </c>
      <c r="E460" t="s">
        <v>49</v>
      </c>
      <c r="F460" t="s">
        <v>21</v>
      </c>
      <c r="G460" t="s">
        <v>21</v>
      </c>
      <c r="H460" t="s">
        <v>22</v>
      </c>
      <c r="I460" t="s">
        <v>23</v>
      </c>
      <c r="J460">
        <v>0</v>
      </c>
      <c r="K460" t="s">
        <v>21</v>
      </c>
      <c r="L460">
        <v>0</v>
      </c>
      <c r="M460">
        <v>8</v>
      </c>
      <c r="N460" t="s">
        <v>536</v>
      </c>
      <c r="O460" t="s">
        <v>537</v>
      </c>
      <c r="P460" t="s">
        <v>148</v>
      </c>
      <c r="Q460" t="s">
        <v>34</v>
      </c>
      <c r="U460" t="str">
        <f t="shared" si="21"/>
        <v>Chasing Won</v>
      </c>
      <c r="X460" t="str">
        <f t="shared" si="22"/>
        <v>Yes</v>
      </c>
      <c r="AA460" t="str">
        <f t="shared" si="23"/>
        <v>2014</v>
      </c>
    </row>
    <row r="461" spans="1:27" x14ac:dyDescent="0.35">
      <c r="A461">
        <v>460</v>
      </c>
      <c r="B461" t="s">
        <v>529</v>
      </c>
      <c r="C461" t="s">
        <v>530</v>
      </c>
      <c r="D461" t="s">
        <v>538</v>
      </c>
      <c r="E461" t="s">
        <v>141</v>
      </c>
      <c r="F461" t="s">
        <v>43</v>
      </c>
      <c r="G461" t="s">
        <v>141</v>
      </c>
      <c r="H461" t="s">
        <v>50</v>
      </c>
      <c r="I461" t="s">
        <v>23</v>
      </c>
      <c r="J461">
        <v>0</v>
      </c>
      <c r="K461" t="s">
        <v>43</v>
      </c>
      <c r="L461">
        <v>0</v>
      </c>
      <c r="M461">
        <v>6</v>
      </c>
      <c r="N461" t="s">
        <v>44</v>
      </c>
      <c r="O461" t="s">
        <v>532</v>
      </c>
      <c r="P461" t="s">
        <v>533</v>
      </c>
      <c r="Q461" t="s">
        <v>47</v>
      </c>
      <c r="U461" t="str">
        <f t="shared" si="21"/>
        <v>Chasing Won</v>
      </c>
      <c r="X461" t="str">
        <f t="shared" si="22"/>
        <v>No</v>
      </c>
      <c r="AA461" t="str">
        <f t="shared" si="23"/>
        <v>2014</v>
      </c>
    </row>
    <row r="462" spans="1:27" x14ac:dyDescent="0.35">
      <c r="A462">
        <v>461</v>
      </c>
      <c r="B462" t="s">
        <v>529</v>
      </c>
      <c r="C462" t="s">
        <v>530</v>
      </c>
      <c r="D462" t="s">
        <v>538</v>
      </c>
      <c r="E462" t="s">
        <v>20</v>
      </c>
      <c r="F462" t="s">
        <v>146</v>
      </c>
      <c r="G462" t="s">
        <v>146</v>
      </c>
      <c r="H462" t="s">
        <v>22</v>
      </c>
      <c r="I462" t="s">
        <v>23</v>
      </c>
      <c r="J462">
        <v>0</v>
      </c>
      <c r="K462" t="s">
        <v>146</v>
      </c>
      <c r="L462">
        <v>0</v>
      </c>
      <c r="M462">
        <v>4</v>
      </c>
      <c r="N462" t="s">
        <v>428</v>
      </c>
      <c r="O462" t="s">
        <v>532</v>
      </c>
      <c r="P462" t="s">
        <v>156</v>
      </c>
      <c r="Q462" t="s">
        <v>533</v>
      </c>
      <c r="U462" t="str">
        <f t="shared" si="21"/>
        <v>Chasing Won</v>
      </c>
      <c r="X462" t="str">
        <f t="shared" si="22"/>
        <v>Yes</v>
      </c>
      <c r="AA462" t="str">
        <f t="shared" si="23"/>
        <v>2014</v>
      </c>
    </row>
    <row r="463" spans="1:27" x14ac:dyDescent="0.35">
      <c r="A463">
        <v>462</v>
      </c>
      <c r="B463" t="s">
        <v>529</v>
      </c>
      <c r="D463" t="s">
        <v>539</v>
      </c>
      <c r="E463" t="s">
        <v>29</v>
      </c>
      <c r="F463" t="s">
        <v>21</v>
      </c>
      <c r="G463" t="s">
        <v>21</v>
      </c>
      <c r="H463" t="s">
        <v>22</v>
      </c>
      <c r="I463" t="s">
        <v>23</v>
      </c>
      <c r="J463">
        <v>0</v>
      </c>
      <c r="K463" t="s">
        <v>21</v>
      </c>
      <c r="L463">
        <v>0</v>
      </c>
      <c r="M463">
        <v>7</v>
      </c>
      <c r="N463" t="s">
        <v>515</v>
      </c>
      <c r="O463" t="s">
        <v>540</v>
      </c>
      <c r="P463" t="s">
        <v>148</v>
      </c>
      <c r="Q463" t="s">
        <v>46</v>
      </c>
      <c r="U463" t="str">
        <f t="shared" si="21"/>
        <v>Chasing Won</v>
      </c>
      <c r="X463" t="str">
        <f t="shared" si="22"/>
        <v>Yes</v>
      </c>
      <c r="AA463" t="str">
        <f t="shared" si="23"/>
        <v>2014</v>
      </c>
    </row>
    <row r="464" spans="1:27" x14ac:dyDescent="0.35">
      <c r="A464">
        <v>463</v>
      </c>
      <c r="B464" t="s">
        <v>529</v>
      </c>
      <c r="D464" t="s">
        <v>539</v>
      </c>
      <c r="E464" t="s">
        <v>37</v>
      </c>
      <c r="F464" t="s">
        <v>49</v>
      </c>
      <c r="G464" t="s">
        <v>37</v>
      </c>
      <c r="H464" t="s">
        <v>50</v>
      </c>
      <c r="I464" t="s">
        <v>23</v>
      </c>
      <c r="J464">
        <v>0</v>
      </c>
      <c r="K464" t="s">
        <v>49</v>
      </c>
      <c r="L464">
        <v>0</v>
      </c>
      <c r="M464">
        <v>4</v>
      </c>
      <c r="N464" t="s">
        <v>270</v>
      </c>
      <c r="O464" t="s">
        <v>540</v>
      </c>
      <c r="P464" t="s">
        <v>148</v>
      </c>
      <c r="Q464" t="s">
        <v>432</v>
      </c>
      <c r="U464" t="str">
        <f t="shared" si="21"/>
        <v>Chasing Won</v>
      </c>
      <c r="X464" t="str">
        <f t="shared" si="22"/>
        <v>No</v>
      </c>
      <c r="AA464" t="str">
        <f t="shared" si="23"/>
        <v>2014</v>
      </c>
    </row>
    <row r="465" spans="1:27" x14ac:dyDescent="0.35">
      <c r="A465">
        <v>464</v>
      </c>
      <c r="B465" t="s">
        <v>529</v>
      </c>
      <c r="C465" t="s">
        <v>534</v>
      </c>
      <c r="D465" t="s">
        <v>541</v>
      </c>
      <c r="E465" t="s">
        <v>146</v>
      </c>
      <c r="F465" t="s">
        <v>43</v>
      </c>
      <c r="G465" t="s">
        <v>43</v>
      </c>
      <c r="H465" t="s">
        <v>22</v>
      </c>
      <c r="I465" t="s">
        <v>23</v>
      </c>
      <c r="J465">
        <v>0</v>
      </c>
      <c r="K465" t="s">
        <v>43</v>
      </c>
      <c r="L465">
        <v>0</v>
      </c>
      <c r="M465">
        <v>7</v>
      </c>
      <c r="N465" t="s">
        <v>44</v>
      </c>
      <c r="O465" t="s">
        <v>537</v>
      </c>
      <c r="P465" t="s">
        <v>156</v>
      </c>
      <c r="Q465" t="s">
        <v>88</v>
      </c>
      <c r="U465" t="str">
        <f t="shared" si="21"/>
        <v>Chasing Won</v>
      </c>
      <c r="X465" t="str">
        <f t="shared" si="22"/>
        <v>Yes</v>
      </c>
      <c r="AA465" t="str">
        <f t="shared" si="23"/>
        <v>2014</v>
      </c>
    </row>
    <row r="466" spans="1:27" x14ac:dyDescent="0.35">
      <c r="A466">
        <v>465</v>
      </c>
      <c r="B466" t="s">
        <v>529</v>
      </c>
      <c r="C466" t="s">
        <v>530</v>
      </c>
      <c r="D466" t="s">
        <v>542</v>
      </c>
      <c r="E466" t="s">
        <v>141</v>
      </c>
      <c r="F466" t="s">
        <v>49</v>
      </c>
      <c r="G466" t="s">
        <v>141</v>
      </c>
      <c r="H466" t="s">
        <v>50</v>
      </c>
      <c r="I466" t="s">
        <v>23</v>
      </c>
      <c r="J466">
        <v>0</v>
      </c>
      <c r="K466" t="s">
        <v>141</v>
      </c>
      <c r="L466">
        <v>93</v>
      </c>
      <c r="M466">
        <v>0</v>
      </c>
      <c r="N466" t="s">
        <v>90</v>
      </c>
      <c r="O466" t="s">
        <v>532</v>
      </c>
      <c r="P466" t="s">
        <v>533</v>
      </c>
      <c r="Q466" t="s">
        <v>47</v>
      </c>
      <c r="U466" t="str">
        <f t="shared" si="21"/>
        <v>Batting First Won</v>
      </c>
      <c r="X466" t="str">
        <f t="shared" si="22"/>
        <v>Yes</v>
      </c>
      <c r="AA466" t="str">
        <f t="shared" si="23"/>
        <v>2014</v>
      </c>
    </row>
    <row r="467" spans="1:27" x14ac:dyDescent="0.35">
      <c r="A467">
        <v>466</v>
      </c>
      <c r="B467" t="s">
        <v>529</v>
      </c>
      <c r="C467" t="s">
        <v>534</v>
      </c>
      <c r="D467" t="s">
        <v>543</v>
      </c>
      <c r="E467" t="s">
        <v>43</v>
      </c>
      <c r="F467" t="s">
        <v>20</v>
      </c>
      <c r="G467" t="s">
        <v>20</v>
      </c>
      <c r="H467" t="s">
        <v>22</v>
      </c>
      <c r="I467" t="s">
        <v>23</v>
      </c>
      <c r="J467">
        <v>0</v>
      </c>
      <c r="K467" t="s">
        <v>43</v>
      </c>
      <c r="L467">
        <v>72</v>
      </c>
      <c r="M467">
        <v>0</v>
      </c>
      <c r="N467" t="s">
        <v>44</v>
      </c>
      <c r="O467" t="s">
        <v>537</v>
      </c>
      <c r="P467" t="s">
        <v>88</v>
      </c>
      <c r="Q467" t="s">
        <v>34</v>
      </c>
      <c r="U467" t="str">
        <f t="shared" si="21"/>
        <v>Batting First Won</v>
      </c>
      <c r="X467" t="str">
        <f t="shared" si="22"/>
        <v>No</v>
      </c>
      <c r="AA467" t="str">
        <f t="shared" si="23"/>
        <v>2014</v>
      </c>
    </row>
    <row r="468" spans="1:27" x14ac:dyDescent="0.35">
      <c r="A468">
        <v>467</v>
      </c>
      <c r="B468" t="s">
        <v>529</v>
      </c>
      <c r="D468" t="s">
        <v>544</v>
      </c>
      <c r="E468" t="s">
        <v>141</v>
      </c>
      <c r="F468" t="s">
        <v>146</v>
      </c>
      <c r="G468" t="s">
        <v>146</v>
      </c>
      <c r="H468" t="s">
        <v>22</v>
      </c>
      <c r="I468" t="s">
        <v>23</v>
      </c>
      <c r="J468">
        <v>0</v>
      </c>
      <c r="K468" t="s">
        <v>141</v>
      </c>
      <c r="L468">
        <v>7</v>
      </c>
      <c r="M468">
        <v>0</v>
      </c>
      <c r="N468" t="s">
        <v>430</v>
      </c>
      <c r="O468" t="s">
        <v>540</v>
      </c>
      <c r="P468" t="s">
        <v>256</v>
      </c>
      <c r="Q468" t="s">
        <v>533</v>
      </c>
      <c r="U468" t="str">
        <f t="shared" si="21"/>
        <v>Batting First Won</v>
      </c>
      <c r="X468" t="str">
        <f t="shared" si="22"/>
        <v>No</v>
      </c>
      <c r="AA468" t="str">
        <f t="shared" si="23"/>
        <v>2014</v>
      </c>
    </row>
    <row r="469" spans="1:27" x14ac:dyDescent="0.35">
      <c r="A469">
        <v>468</v>
      </c>
      <c r="B469" t="s">
        <v>529</v>
      </c>
      <c r="C469" t="s">
        <v>534</v>
      </c>
      <c r="D469" t="s">
        <v>545</v>
      </c>
      <c r="E469" t="s">
        <v>37</v>
      </c>
      <c r="F469" t="s">
        <v>21</v>
      </c>
      <c r="G469" t="s">
        <v>21</v>
      </c>
      <c r="H469" t="s">
        <v>22</v>
      </c>
      <c r="I469" t="s">
        <v>23</v>
      </c>
      <c r="J469">
        <v>0</v>
      </c>
      <c r="K469" t="s">
        <v>37</v>
      </c>
      <c r="L469">
        <v>2</v>
      </c>
      <c r="M469">
        <v>0</v>
      </c>
      <c r="N469" t="s">
        <v>38</v>
      </c>
      <c r="O469" t="s">
        <v>537</v>
      </c>
      <c r="P469" t="s">
        <v>148</v>
      </c>
      <c r="Q469" t="s">
        <v>432</v>
      </c>
      <c r="U469" t="str">
        <f t="shared" si="21"/>
        <v>Batting First Won</v>
      </c>
      <c r="X469" t="str">
        <f t="shared" si="22"/>
        <v>No</v>
      </c>
      <c r="AA469" t="str">
        <f t="shared" si="23"/>
        <v>2014</v>
      </c>
    </row>
    <row r="470" spans="1:27" x14ac:dyDescent="0.35">
      <c r="A470">
        <v>469</v>
      </c>
      <c r="B470" t="s">
        <v>529</v>
      </c>
      <c r="D470" t="s">
        <v>546</v>
      </c>
      <c r="E470" t="s">
        <v>20</v>
      </c>
      <c r="F470" t="s">
        <v>49</v>
      </c>
      <c r="G470" t="s">
        <v>20</v>
      </c>
      <c r="H470" t="s">
        <v>50</v>
      </c>
      <c r="I470" t="s">
        <v>23</v>
      </c>
      <c r="J470">
        <v>0</v>
      </c>
      <c r="K470" t="s">
        <v>20</v>
      </c>
      <c r="L470">
        <v>4</v>
      </c>
      <c r="M470">
        <v>0</v>
      </c>
      <c r="N470" t="s">
        <v>484</v>
      </c>
      <c r="O470" t="s">
        <v>540</v>
      </c>
      <c r="P470" t="s">
        <v>88</v>
      </c>
      <c r="Q470" t="s">
        <v>34</v>
      </c>
      <c r="U470" t="str">
        <f t="shared" si="21"/>
        <v>Batting First Won</v>
      </c>
      <c r="X470" t="str">
        <f t="shared" si="22"/>
        <v>Yes</v>
      </c>
      <c r="AA470" t="str">
        <f t="shared" si="23"/>
        <v>2014</v>
      </c>
    </row>
    <row r="471" spans="1:27" x14ac:dyDescent="0.35">
      <c r="A471">
        <v>470</v>
      </c>
      <c r="B471" t="s">
        <v>529</v>
      </c>
      <c r="D471" t="s">
        <v>546</v>
      </c>
      <c r="E471" t="s">
        <v>29</v>
      </c>
      <c r="F471" t="s">
        <v>141</v>
      </c>
      <c r="G471" t="s">
        <v>29</v>
      </c>
      <c r="H471" t="s">
        <v>50</v>
      </c>
      <c r="I471" t="s">
        <v>23</v>
      </c>
      <c r="J471">
        <v>0</v>
      </c>
      <c r="K471" t="s">
        <v>141</v>
      </c>
      <c r="L471">
        <v>0</v>
      </c>
      <c r="M471">
        <v>7</v>
      </c>
      <c r="N471" t="s">
        <v>118</v>
      </c>
      <c r="O471" t="s">
        <v>540</v>
      </c>
      <c r="P471" t="s">
        <v>156</v>
      </c>
      <c r="Q471" t="s">
        <v>88</v>
      </c>
      <c r="U471" t="str">
        <f t="shared" si="21"/>
        <v>Chasing Won</v>
      </c>
      <c r="X471" t="str">
        <f t="shared" si="22"/>
        <v>No</v>
      </c>
      <c r="AA471" t="str">
        <f t="shared" si="23"/>
        <v>2014</v>
      </c>
    </row>
    <row r="472" spans="1:27" x14ac:dyDescent="0.35">
      <c r="A472">
        <v>471</v>
      </c>
      <c r="B472" t="s">
        <v>529</v>
      </c>
      <c r="C472" t="s">
        <v>530</v>
      </c>
      <c r="D472" t="s">
        <v>547</v>
      </c>
      <c r="E472" t="s">
        <v>21</v>
      </c>
      <c r="F472" t="s">
        <v>146</v>
      </c>
      <c r="G472" t="s">
        <v>146</v>
      </c>
      <c r="H472" t="s">
        <v>22</v>
      </c>
      <c r="I472" t="s">
        <v>23</v>
      </c>
      <c r="J472">
        <v>0</v>
      </c>
      <c r="K472" t="s">
        <v>146</v>
      </c>
      <c r="L472">
        <v>0</v>
      </c>
      <c r="M472">
        <v>6</v>
      </c>
      <c r="N472" t="s">
        <v>548</v>
      </c>
      <c r="O472" t="s">
        <v>532</v>
      </c>
      <c r="P472" t="s">
        <v>256</v>
      </c>
      <c r="Q472" t="s">
        <v>47</v>
      </c>
      <c r="U472" t="str">
        <f t="shared" si="21"/>
        <v>Chasing Won</v>
      </c>
      <c r="X472" t="str">
        <f t="shared" si="22"/>
        <v>Yes</v>
      </c>
      <c r="AA472" t="str">
        <f t="shared" si="23"/>
        <v>2014</v>
      </c>
    </row>
    <row r="473" spans="1:27" x14ac:dyDescent="0.35">
      <c r="A473">
        <v>472</v>
      </c>
      <c r="B473" t="s">
        <v>529</v>
      </c>
      <c r="C473" t="s">
        <v>530</v>
      </c>
      <c r="D473" t="s">
        <v>547</v>
      </c>
      <c r="E473" t="s">
        <v>43</v>
      </c>
      <c r="F473" t="s">
        <v>37</v>
      </c>
      <c r="G473" t="s">
        <v>37</v>
      </c>
      <c r="H473" t="s">
        <v>22</v>
      </c>
      <c r="I473" t="s">
        <v>23</v>
      </c>
      <c r="J473">
        <v>0</v>
      </c>
      <c r="K473" t="s">
        <v>43</v>
      </c>
      <c r="L473">
        <v>23</v>
      </c>
      <c r="M473">
        <v>0</v>
      </c>
      <c r="N473" t="s">
        <v>108</v>
      </c>
      <c r="O473" t="s">
        <v>532</v>
      </c>
      <c r="P473" t="s">
        <v>256</v>
      </c>
      <c r="Q473" t="s">
        <v>533</v>
      </c>
      <c r="U473" t="str">
        <f t="shared" si="21"/>
        <v>Batting First Won</v>
      </c>
      <c r="X473" t="str">
        <f t="shared" si="22"/>
        <v>No</v>
      </c>
      <c r="AA473" t="str">
        <f t="shared" si="23"/>
        <v>2014</v>
      </c>
    </row>
    <row r="474" spans="1:27" x14ac:dyDescent="0.35">
      <c r="A474">
        <v>473</v>
      </c>
      <c r="B474" t="s">
        <v>529</v>
      </c>
      <c r="C474" t="s">
        <v>534</v>
      </c>
      <c r="D474" t="s">
        <v>549</v>
      </c>
      <c r="E474" t="s">
        <v>29</v>
      </c>
      <c r="F474" t="s">
        <v>49</v>
      </c>
      <c r="G474" t="s">
        <v>29</v>
      </c>
      <c r="H474" t="s">
        <v>50</v>
      </c>
      <c r="I474" t="s">
        <v>23</v>
      </c>
      <c r="J474">
        <v>0</v>
      </c>
      <c r="K474" t="s">
        <v>49</v>
      </c>
      <c r="L474">
        <v>0</v>
      </c>
      <c r="M474">
        <v>6</v>
      </c>
      <c r="N474" t="s">
        <v>339</v>
      </c>
      <c r="O474" t="s">
        <v>537</v>
      </c>
      <c r="P474" t="s">
        <v>148</v>
      </c>
      <c r="Q474" t="s">
        <v>432</v>
      </c>
      <c r="U474" t="str">
        <f t="shared" si="21"/>
        <v>Chasing Won</v>
      </c>
      <c r="X474" t="str">
        <f t="shared" si="22"/>
        <v>No</v>
      </c>
      <c r="AA474" t="str">
        <f t="shared" si="23"/>
        <v>2014</v>
      </c>
    </row>
    <row r="475" spans="1:27" x14ac:dyDescent="0.35">
      <c r="A475">
        <v>474</v>
      </c>
      <c r="B475" t="s">
        <v>529</v>
      </c>
      <c r="C475" t="s">
        <v>534</v>
      </c>
      <c r="D475" t="s">
        <v>549</v>
      </c>
      <c r="E475" t="s">
        <v>20</v>
      </c>
      <c r="F475" t="s">
        <v>141</v>
      </c>
      <c r="G475" t="s">
        <v>20</v>
      </c>
      <c r="H475" t="s">
        <v>50</v>
      </c>
      <c r="I475" t="s">
        <v>23</v>
      </c>
      <c r="J475">
        <v>0</v>
      </c>
      <c r="K475" t="s">
        <v>141</v>
      </c>
      <c r="L475">
        <v>0</v>
      </c>
      <c r="M475">
        <v>5</v>
      </c>
      <c r="N475" t="s">
        <v>116</v>
      </c>
      <c r="O475" t="s">
        <v>537</v>
      </c>
      <c r="P475" t="s">
        <v>46</v>
      </c>
      <c r="Q475" t="s">
        <v>432</v>
      </c>
      <c r="U475" t="str">
        <f t="shared" si="21"/>
        <v>Chasing Won</v>
      </c>
      <c r="X475" t="str">
        <f t="shared" si="22"/>
        <v>No</v>
      </c>
      <c r="AA475" t="str">
        <f t="shared" si="23"/>
        <v>2014</v>
      </c>
    </row>
    <row r="476" spans="1:27" x14ac:dyDescent="0.35">
      <c r="A476">
        <v>475</v>
      </c>
      <c r="B476" t="s">
        <v>529</v>
      </c>
      <c r="D476" t="s">
        <v>550</v>
      </c>
      <c r="E476" t="s">
        <v>21</v>
      </c>
      <c r="F476" t="s">
        <v>43</v>
      </c>
      <c r="G476" t="s">
        <v>43</v>
      </c>
      <c r="H476" t="s">
        <v>22</v>
      </c>
      <c r="I476" t="s">
        <v>23</v>
      </c>
      <c r="J476">
        <v>0</v>
      </c>
      <c r="K476" t="s">
        <v>43</v>
      </c>
      <c r="L476">
        <v>0</v>
      </c>
      <c r="M476">
        <v>5</v>
      </c>
      <c r="N476" t="s">
        <v>108</v>
      </c>
      <c r="O476" t="s">
        <v>540</v>
      </c>
      <c r="P476" t="s">
        <v>156</v>
      </c>
      <c r="Q476" t="s">
        <v>34</v>
      </c>
      <c r="U476" t="str">
        <f t="shared" si="21"/>
        <v>Chasing Won</v>
      </c>
      <c r="X476" t="str">
        <f t="shared" si="22"/>
        <v>Yes</v>
      </c>
      <c r="AA476" t="str">
        <f t="shared" si="23"/>
        <v>2014</v>
      </c>
    </row>
    <row r="477" spans="1:27" x14ac:dyDescent="0.35">
      <c r="A477">
        <v>476</v>
      </c>
      <c r="B477" t="s">
        <v>529</v>
      </c>
      <c r="C477" t="s">
        <v>530</v>
      </c>
      <c r="D477" t="s">
        <v>551</v>
      </c>
      <c r="E477" t="s">
        <v>146</v>
      </c>
      <c r="F477" t="s">
        <v>37</v>
      </c>
      <c r="G477" t="s">
        <v>146</v>
      </c>
      <c r="H477" t="s">
        <v>50</v>
      </c>
      <c r="I477" t="s">
        <v>105</v>
      </c>
      <c r="J477">
        <v>0</v>
      </c>
      <c r="K477" t="s">
        <v>146</v>
      </c>
      <c r="L477">
        <v>0</v>
      </c>
      <c r="M477">
        <v>0</v>
      </c>
      <c r="N477" t="s">
        <v>489</v>
      </c>
      <c r="O477" t="s">
        <v>532</v>
      </c>
      <c r="P477" t="s">
        <v>148</v>
      </c>
      <c r="Q477" t="s">
        <v>46</v>
      </c>
      <c r="U477" t="str">
        <f t="shared" si="21"/>
        <v>Chasing Won</v>
      </c>
      <c r="X477" t="str">
        <f t="shared" si="22"/>
        <v>Yes</v>
      </c>
      <c r="AA477" t="str">
        <f t="shared" si="23"/>
        <v>2014</v>
      </c>
    </row>
    <row r="478" spans="1:27" x14ac:dyDescent="0.35">
      <c r="A478">
        <v>477</v>
      </c>
      <c r="B478" t="s">
        <v>529</v>
      </c>
      <c r="D478" t="s">
        <v>552</v>
      </c>
      <c r="E478" t="s">
        <v>20</v>
      </c>
      <c r="F478" t="s">
        <v>29</v>
      </c>
      <c r="G478" t="s">
        <v>29</v>
      </c>
      <c r="H478" t="s">
        <v>22</v>
      </c>
      <c r="I478" t="s">
        <v>23</v>
      </c>
      <c r="J478">
        <v>0</v>
      </c>
      <c r="K478" t="s">
        <v>20</v>
      </c>
      <c r="L478">
        <v>15</v>
      </c>
      <c r="M478">
        <v>0</v>
      </c>
      <c r="N478" t="s">
        <v>79</v>
      </c>
      <c r="O478" t="s">
        <v>540</v>
      </c>
      <c r="P478" t="s">
        <v>256</v>
      </c>
      <c r="Q478" t="s">
        <v>88</v>
      </c>
      <c r="U478" t="str">
        <f t="shared" si="21"/>
        <v>Batting First Won</v>
      </c>
      <c r="X478" t="str">
        <f t="shared" si="22"/>
        <v>No</v>
      </c>
      <c r="AA478" t="str">
        <f t="shared" si="23"/>
        <v>2014</v>
      </c>
    </row>
    <row r="479" spans="1:27" x14ac:dyDescent="0.35">
      <c r="A479">
        <v>478</v>
      </c>
      <c r="B479" t="s">
        <v>529</v>
      </c>
      <c r="C479" t="s">
        <v>516</v>
      </c>
      <c r="D479" s="1">
        <v>41675</v>
      </c>
      <c r="E479" t="s">
        <v>141</v>
      </c>
      <c r="F479" t="s">
        <v>37</v>
      </c>
      <c r="G479" t="s">
        <v>141</v>
      </c>
      <c r="H479" t="s">
        <v>50</v>
      </c>
      <c r="I479" t="s">
        <v>23</v>
      </c>
      <c r="J479">
        <v>0</v>
      </c>
      <c r="K479" t="s">
        <v>141</v>
      </c>
      <c r="L479">
        <v>34</v>
      </c>
      <c r="M479">
        <v>0</v>
      </c>
      <c r="N479" t="s">
        <v>430</v>
      </c>
      <c r="O479" t="s">
        <v>517</v>
      </c>
      <c r="P479" t="s">
        <v>46</v>
      </c>
      <c r="Q479" t="s">
        <v>27</v>
      </c>
      <c r="U479" t="str">
        <f t="shared" si="21"/>
        <v>Batting First Won</v>
      </c>
      <c r="X479" t="str">
        <f t="shared" si="22"/>
        <v>Yes</v>
      </c>
      <c r="AA479" t="str">
        <f t="shared" si="23"/>
        <v>2014</v>
      </c>
    </row>
    <row r="480" spans="1:27" x14ac:dyDescent="0.35">
      <c r="A480">
        <v>479</v>
      </c>
      <c r="B480" t="s">
        <v>529</v>
      </c>
      <c r="C480" t="s">
        <v>55</v>
      </c>
      <c r="D480" s="1">
        <v>41703</v>
      </c>
      <c r="E480" t="s">
        <v>43</v>
      </c>
      <c r="F480" t="s">
        <v>29</v>
      </c>
      <c r="G480" t="s">
        <v>43</v>
      </c>
      <c r="H480" t="s">
        <v>50</v>
      </c>
      <c r="I480" t="s">
        <v>23</v>
      </c>
      <c r="J480">
        <v>0</v>
      </c>
      <c r="K480" t="s">
        <v>29</v>
      </c>
      <c r="L480">
        <v>0</v>
      </c>
      <c r="M480">
        <v>5</v>
      </c>
      <c r="N480" t="s">
        <v>72</v>
      </c>
      <c r="O480" t="s">
        <v>57</v>
      </c>
      <c r="P480" t="s">
        <v>436</v>
      </c>
      <c r="Q480" t="s">
        <v>47</v>
      </c>
      <c r="U480" t="str">
        <f t="shared" si="21"/>
        <v>Chasing Won</v>
      </c>
      <c r="X480" t="str">
        <f t="shared" si="22"/>
        <v>No</v>
      </c>
      <c r="AA480" t="str">
        <f t="shared" si="23"/>
        <v>2014</v>
      </c>
    </row>
    <row r="481" spans="1:27" x14ac:dyDescent="0.35">
      <c r="A481">
        <v>480</v>
      </c>
      <c r="B481" t="s">
        <v>529</v>
      </c>
      <c r="C481" t="s">
        <v>71</v>
      </c>
      <c r="D481" s="1">
        <v>41703</v>
      </c>
      <c r="E481" t="s">
        <v>49</v>
      </c>
      <c r="F481" t="s">
        <v>146</v>
      </c>
      <c r="G481" t="s">
        <v>146</v>
      </c>
      <c r="H481" t="s">
        <v>22</v>
      </c>
      <c r="I481" t="s">
        <v>23</v>
      </c>
      <c r="J481">
        <v>0</v>
      </c>
      <c r="K481" t="s">
        <v>146</v>
      </c>
      <c r="L481">
        <v>0</v>
      </c>
      <c r="M481">
        <v>7</v>
      </c>
      <c r="N481" t="s">
        <v>123</v>
      </c>
      <c r="O481" t="s">
        <v>73</v>
      </c>
      <c r="P481" t="s">
        <v>277</v>
      </c>
      <c r="Q481" t="s">
        <v>34</v>
      </c>
      <c r="U481" t="str">
        <f t="shared" si="21"/>
        <v>Chasing Won</v>
      </c>
      <c r="X481" t="str">
        <f t="shared" si="22"/>
        <v>Yes</v>
      </c>
      <c r="AA481" t="str">
        <f t="shared" si="23"/>
        <v>2014</v>
      </c>
    </row>
    <row r="482" spans="1:27" x14ac:dyDescent="0.35">
      <c r="A482">
        <v>481</v>
      </c>
      <c r="B482" t="s">
        <v>529</v>
      </c>
      <c r="C482" t="s">
        <v>48</v>
      </c>
      <c r="D482" s="1">
        <v>41734</v>
      </c>
      <c r="E482" t="s">
        <v>20</v>
      </c>
      <c r="F482" t="s">
        <v>21</v>
      </c>
      <c r="G482" t="s">
        <v>21</v>
      </c>
      <c r="H482" t="s">
        <v>22</v>
      </c>
      <c r="I482" t="s">
        <v>23</v>
      </c>
      <c r="J482">
        <v>0</v>
      </c>
      <c r="K482" t="s">
        <v>21</v>
      </c>
      <c r="L482">
        <v>0</v>
      </c>
      <c r="M482">
        <v>4</v>
      </c>
      <c r="N482" t="s">
        <v>250</v>
      </c>
      <c r="O482" t="s">
        <v>52</v>
      </c>
      <c r="P482" t="s">
        <v>256</v>
      </c>
      <c r="Q482" t="s">
        <v>432</v>
      </c>
      <c r="U482" t="str">
        <f t="shared" si="21"/>
        <v>Chasing Won</v>
      </c>
      <c r="X482" t="str">
        <f t="shared" si="22"/>
        <v>Yes</v>
      </c>
      <c r="AA482" t="str">
        <f t="shared" si="23"/>
        <v>2014</v>
      </c>
    </row>
    <row r="483" spans="1:27" x14ac:dyDescent="0.35">
      <c r="A483">
        <v>482</v>
      </c>
      <c r="B483" t="s">
        <v>529</v>
      </c>
      <c r="C483" t="s">
        <v>311</v>
      </c>
      <c r="D483" s="1">
        <v>41764</v>
      </c>
      <c r="E483" t="s">
        <v>146</v>
      </c>
      <c r="F483" t="s">
        <v>37</v>
      </c>
      <c r="G483" t="s">
        <v>37</v>
      </c>
      <c r="H483" t="s">
        <v>22</v>
      </c>
      <c r="I483" t="s">
        <v>23</v>
      </c>
      <c r="J483">
        <v>0</v>
      </c>
      <c r="K483" t="s">
        <v>146</v>
      </c>
      <c r="L483">
        <v>10</v>
      </c>
      <c r="M483">
        <v>0</v>
      </c>
      <c r="N483" t="s">
        <v>548</v>
      </c>
      <c r="O483" t="s">
        <v>313</v>
      </c>
      <c r="P483" t="s">
        <v>27</v>
      </c>
      <c r="Q483" t="s">
        <v>41</v>
      </c>
      <c r="U483" t="str">
        <f t="shared" si="21"/>
        <v>Batting First Won</v>
      </c>
      <c r="X483" t="str">
        <f t="shared" si="22"/>
        <v>No</v>
      </c>
      <c r="AA483" t="str">
        <f t="shared" si="23"/>
        <v>2014</v>
      </c>
    </row>
    <row r="484" spans="1:27" x14ac:dyDescent="0.35">
      <c r="A484">
        <v>483</v>
      </c>
      <c r="B484" t="s">
        <v>529</v>
      </c>
      <c r="C484" t="s">
        <v>71</v>
      </c>
      <c r="D484" s="1">
        <v>41764</v>
      </c>
      <c r="E484" t="s">
        <v>49</v>
      </c>
      <c r="F484" t="s">
        <v>141</v>
      </c>
      <c r="G484" t="s">
        <v>141</v>
      </c>
      <c r="H484" t="s">
        <v>22</v>
      </c>
      <c r="I484" t="s">
        <v>23</v>
      </c>
      <c r="J484">
        <v>0</v>
      </c>
      <c r="K484" t="s">
        <v>141</v>
      </c>
      <c r="L484">
        <v>0</v>
      </c>
      <c r="M484">
        <v>8</v>
      </c>
      <c r="N484" t="s">
        <v>116</v>
      </c>
      <c r="O484" t="s">
        <v>73</v>
      </c>
      <c r="P484" t="s">
        <v>553</v>
      </c>
      <c r="Q484" t="s">
        <v>436</v>
      </c>
      <c r="U484" t="str">
        <f t="shared" si="21"/>
        <v>Chasing Won</v>
      </c>
      <c r="X484" t="str">
        <f t="shared" si="22"/>
        <v>Yes</v>
      </c>
      <c r="AA484" t="str">
        <f t="shared" si="23"/>
        <v>2014</v>
      </c>
    </row>
    <row r="485" spans="1:27" x14ac:dyDescent="0.35">
      <c r="A485">
        <v>484</v>
      </c>
      <c r="B485" t="s">
        <v>529</v>
      </c>
      <c r="C485" t="s">
        <v>55</v>
      </c>
      <c r="D485" s="1">
        <v>41795</v>
      </c>
      <c r="E485" t="s">
        <v>29</v>
      </c>
      <c r="F485" t="s">
        <v>21</v>
      </c>
      <c r="G485" t="s">
        <v>21</v>
      </c>
      <c r="H485" t="s">
        <v>22</v>
      </c>
      <c r="I485" t="s">
        <v>23</v>
      </c>
      <c r="J485">
        <v>0</v>
      </c>
      <c r="K485" t="s">
        <v>29</v>
      </c>
      <c r="L485">
        <v>19</v>
      </c>
      <c r="M485">
        <v>0</v>
      </c>
      <c r="N485" t="s">
        <v>110</v>
      </c>
      <c r="O485" t="s">
        <v>57</v>
      </c>
      <c r="P485" t="s">
        <v>34</v>
      </c>
      <c r="Q485" t="s">
        <v>485</v>
      </c>
      <c r="U485" t="str">
        <f t="shared" si="21"/>
        <v>Batting First Won</v>
      </c>
      <c r="X485" t="str">
        <f t="shared" si="22"/>
        <v>No</v>
      </c>
      <c r="AA485" t="str">
        <f t="shared" si="23"/>
        <v>2014</v>
      </c>
    </row>
    <row r="486" spans="1:27" x14ac:dyDescent="0.35">
      <c r="A486">
        <v>485</v>
      </c>
      <c r="B486" t="s">
        <v>529</v>
      </c>
      <c r="C486" t="s">
        <v>71</v>
      </c>
      <c r="D486" s="1">
        <v>41825</v>
      </c>
      <c r="E486" t="s">
        <v>49</v>
      </c>
      <c r="F486" t="s">
        <v>37</v>
      </c>
      <c r="G486" t="s">
        <v>49</v>
      </c>
      <c r="H486" t="s">
        <v>50</v>
      </c>
      <c r="I486" t="s">
        <v>23</v>
      </c>
      <c r="J486">
        <v>0</v>
      </c>
      <c r="K486" t="s">
        <v>37</v>
      </c>
      <c r="L486">
        <v>0</v>
      </c>
      <c r="M486">
        <v>8</v>
      </c>
      <c r="N486" t="s">
        <v>100</v>
      </c>
      <c r="O486" t="s">
        <v>73</v>
      </c>
      <c r="P486" t="s">
        <v>436</v>
      </c>
      <c r="Q486" t="s">
        <v>47</v>
      </c>
      <c r="U486" t="str">
        <f t="shared" si="21"/>
        <v>Chasing Won</v>
      </c>
      <c r="X486" t="str">
        <f t="shared" si="22"/>
        <v>No</v>
      </c>
      <c r="AA486" t="str">
        <f t="shared" si="23"/>
        <v>2014</v>
      </c>
    </row>
    <row r="487" spans="1:27" x14ac:dyDescent="0.35">
      <c r="A487">
        <v>486</v>
      </c>
      <c r="B487" t="s">
        <v>529</v>
      </c>
      <c r="C487" t="s">
        <v>319</v>
      </c>
      <c r="D487" s="1">
        <v>41825</v>
      </c>
      <c r="E487" t="s">
        <v>43</v>
      </c>
      <c r="F487" t="s">
        <v>141</v>
      </c>
      <c r="G487" t="s">
        <v>141</v>
      </c>
      <c r="H487" t="s">
        <v>22</v>
      </c>
      <c r="I487" t="s">
        <v>23</v>
      </c>
      <c r="J487">
        <v>0</v>
      </c>
      <c r="K487" t="s">
        <v>43</v>
      </c>
      <c r="L487">
        <v>44</v>
      </c>
      <c r="M487">
        <v>0</v>
      </c>
      <c r="N487" t="s">
        <v>44</v>
      </c>
      <c r="O487" t="s">
        <v>321</v>
      </c>
      <c r="P487" t="s">
        <v>256</v>
      </c>
      <c r="Q487" t="s">
        <v>554</v>
      </c>
      <c r="U487" t="str">
        <f t="shared" si="21"/>
        <v>Batting First Won</v>
      </c>
      <c r="X487" t="str">
        <f t="shared" si="22"/>
        <v>No</v>
      </c>
      <c r="AA487" t="str">
        <f t="shared" si="23"/>
        <v>2014</v>
      </c>
    </row>
    <row r="488" spans="1:27" x14ac:dyDescent="0.35">
      <c r="A488">
        <v>487</v>
      </c>
      <c r="B488" t="s">
        <v>529</v>
      </c>
      <c r="C488" t="s">
        <v>311</v>
      </c>
      <c r="D488" s="1">
        <v>41856</v>
      </c>
      <c r="E488" t="s">
        <v>20</v>
      </c>
      <c r="F488" t="s">
        <v>146</v>
      </c>
      <c r="G488" t="s">
        <v>146</v>
      </c>
      <c r="H488" t="s">
        <v>22</v>
      </c>
      <c r="I488" t="s">
        <v>23</v>
      </c>
      <c r="J488">
        <v>0</v>
      </c>
      <c r="K488" t="s">
        <v>20</v>
      </c>
      <c r="L488">
        <v>32</v>
      </c>
      <c r="M488">
        <v>0</v>
      </c>
      <c r="N488" t="s">
        <v>79</v>
      </c>
      <c r="O488" t="s">
        <v>313</v>
      </c>
      <c r="P488" t="s">
        <v>46</v>
      </c>
      <c r="Q488" t="s">
        <v>27</v>
      </c>
      <c r="U488" t="str">
        <f t="shared" si="21"/>
        <v>Batting First Won</v>
      </c>
      <c r="X488" t="str">
        <f t="shared" si="22"/>
        <v>No</v>
      </c>
      <c r="AA488" t="str">
        <f t="shared" si="23"/>
        <v>2014</v>
      </c>
    </row>
    <row r="489" spans="1:27" x14ac:dyDescent="0.35">
      <c r="A489">
        <v>488</v>
      </c>
      <c r="B489" t="s">
        <v>529</v>
      </c>
      <c r="C489" t="s">
        <v>48</v>
      </c>
      <c r="D489" s="1">
        <v>41887</v>
      </c>
      <c r="E489" t="s">
        <v>43</v>
      </c>
      <c r="F489" t="s">
        <v>21</v>
      </c>
      <c r="G489" t="s">
        <v>21</v>
      </c>
      <c r="H489" t="s">
        <v>22</v>
      </c>
      <c r="I489" t="s">
        <v>23</v>
      </c>
      <c r="J489">
        <v>0</v>
      </c>
      <c r="K489" t="s">
        <v>43</v>
      </c>
      <c r="L489">
        <v>32</v>
      </c>
      <c r="M489">
        <v>0</v>
      </c>
      <c r="N489" t="s">
        <v>108</v>
      </c>
      <c r="O489" t="s">
        <v>52</v>
      </c>
      <c r="P489" t="s">
        <v>34</v>
      </c>
      <c r="Q489" t="s">
        <v>485</v>
      </c>
      <c r="U489" t="str">
        <f t="shared" si="21"/>
        <v>Batting First Won</v>
      </c>
      <c r="X489" t="str">
        <f t="shared" si="22"/>
        <v>No</v>
      </c>
      <c r="AA489" t="str">
        <f t="shared" si="23"/>
        <v>2014</v>
      </c>
    </row>
    <row r="490" spans="1:27" x14ac:dyDescent="0.35">
      <c r="A490">
        <v>489</v>
      </c>
      <c r="B490" t="s">
        <v>529</v>
      </c>
      <c r="C490" t="s">
        <v>71</v>
      </c>
      <c r="D490" s="1">
        <v>41917</v>
      </c>
      <c r="E490" t="s">
        <v>49</v>
      </c>
      <c r="F490" t="s">
        <v>20</v>
      </c>
      <c r="G490" t="s">
        <v>20</v>
      </c>
      <c r="H490" t="s">
        <v>22</v>
      </c>
      <c r="I490" t="s">
        <v>23</v>
      </c>
      <c r="J490">
        <v>1</v>
      </c>
      <c r="K490" t="s">
        <v>20</v>
      </c>
      <c r="L490">
        <v>0</v>
      </c>
      <c r="M490">
        <v>8</v>
      </c>
      <c r="N490" t="s">
        <v>380</v>
      </c>
      <c r="O490" t="s">
        <v>73</v>
      </c>
      <c r="P490" t="s">
        <v>553</v>
      </c>
      <c r="Q490" t="s">
        <v>436</v>
      </c>
      <c r="U490" t="str">
        <f t="shared" si="21"/>
        <v>Chasing Won</v>
      </c>
      <c r="X490" t="str">
        <f t="shared" si="22"/>
        <v>Yes</v>
      </c>
      <c r="AA490" t="str">
        <f t="shared" si="23"/>
        <v>2014</v>
      </c>
    </row>
    <row r="491" spans="1:27" x14ac:dyDescent="0.35">
      <c r="A491">
        <v>490</v>
      </c>
      <c r="B491" t="s">
        <v>529</v>
      </c>
      <c r="C491" t="s">
        <v>55</v>
      </c>
      <c r="D491" s="1">
        <v>41917</v>
      </c>
      <c r="E491" t="s">
        <v>29</v>
      </c>
      <c r="F491" t="s">
        <v>141</v>
      </c>
      <c r="G491" t="s">
        <v>141</v>
      </c>
      <c r="H491" t="s">
        <v>22</v>
      </c>
      <c r="I491" t="s">
        <v>23</v>
      </c>
      <c r="J491">
        <v>0</v>
      </c>
      <c r="K491" t="s">
        <v>141</v>
      </c>
      <c r="L491">
        <v>0</v>
      </c>
      <c r="M491">
        <v>4</v>
      </c>
      <c r="N491" t="s">
        <v>116</v>
      </c>
      <c r="O491" t="s">
        <v>57</v>
      </c>
      <c r="P491" t="s">
        <v>256</v>
      </c>
      <c r="Q491" t="s">
        <v>432</v>
      </c>
      <c r="U491" t="str">
        <f t="shared" si="21"/>
        <v>Chasing Won</v>
      </c>
      <c r="X491" t="str">
        <f t="shared" si="22"/>
        <v>Yes</v>
      </c>
      <c r="AA491" t="str">
        <f t="shared" si="23"/>
        <v>2014</v>
      </c>
    </row>
    <row r="492" spans="1:27" x14ac:dyDescent="0.35">
      <c r="A492">
        <v>491</v>
      </c>
      <c r="B492" t="s">
        <v>529</v>
      </c>
      <c r="C492" t="s">
        <v>319</v>
      </c>
      <c r="D492" s="1">
        <v>41948</v>
      </c>
      <c r="E492" t="s">
        <v>43</v>
      </c>
      <c r="F492" t="s">
        <v>37</v>
      </c>
      <c r="G492" t="s">
        <v>37</v>
      </c>
      <c r="H492" t="s">
        <v>22</v>
      </c>
      <c r="I492" t="s">
        <v>23</v>
      </c>
      <c r="J492">
        <v>0</v>
      </c>
      <c r="K492" t="s">
        <v>37</v>
      </c>
      <c r="L492">
        <v>0</v>
      </c>
      <c r="M492">
        <v>9</v>
      </c>
      <c r="N492" t="s">
        <v>100</v>
      </c>
      <c r="O492" t="s">
        <v>321</v>
      </c>
      <c r="P492" t="s">
        <v>27</v>
      </c>
      <c r="Q492" t="s">
        <v>41</v>
      </c>
      <c r="U492" t="str">
        <f t="shared" si="21"/>
        <v>Chasing Won</v>
      </c>
      <c r="X492" t="str">
        <f t="shared" si="22"/>
        <v>Yes</v>
      </c>
      <c r="AA492" t="str">
        <f t="shared" si="23"/>
        <v>2014</v>
      </c>
    </row>
    <row r="493" spans="1:27" x14ac:dyDescent="0.35">
      <c r="A493">
        <v>492</v>
      </c>
      <c r="B493" t="s">
        <v>529</v>
      </c>
      <c r="C493" t="s">
        <v>48</v>
      </c>
      <c r="D493" s="1">
        <v>41948</v>
      </c>
      <c r="E493" t="s">
        <v>21</v>
      </c>
      <c r="F493" t="s">
        <v>146</v>
      </c>
      <c r="G493" t="s">
        <v>21</v>
      </c>
      <c r="H493" t="s">
        <v>50</v>
      </c>
      <c r="I493" t="s">
        <v>23</v>
      </c>
      <c r="J493">
        <v>0</v>
      </c>
      <c r="K493" t="s">
        <v>146</v>
      </c>
      <c r="L493">
        <v>0</v>
      </c>
      <c r="M493">
        <v>5</v>
      </c>
      <c r="N493" t="s">
        <v>489</v>
      </c>
      <c r="O493" t="s">
        <v>52</v>
      </c>
      <c r="P493" t="s">
        <v>34</v>
      </c>
      <c r="Q493" t="s">
        <v>387</v>
      </c>
      <c r="U493" t="str">
        <f t="shared" si="21"/>
        <v>Chasing Won</v>
      </c>
      <c r="X493" t="str">
        <f t="shared" si="22"/>
        <v>No</v>
      </c>
      <c r="AA493" t="str">
        <f t="shared" si="23"/>
        <v>2014</v>
      </c>
    </row>
    <row r="494" spans="1:27" x14ac:dyDescent="0.35">
      <c r="A494">
        <v>493</v>
      </c>
      <c r="B494" t="s">
        <v>529</v>
      </c>
      <c r="C494" t="s">
        <v>19</v>
      </c>
      <c r="D494" s="1">
        <v>41978</v>
      </c>
      <c r="E494" t="s">
        <v>20</v>
      </c>
      <c r="F494" t="s">
        <v>29</v>
      </c>
      <c r="G494" t="s">
        <v>20</v>
      </c>
      <c r="H494" t="s">
        <v>50</v>
      </c>
      <c r="I494" t="s">
        <v>23</v>
      </c>
      <c r="J494">
        <v>0</v>
      </c>
      <c r="K494" t="s">
        <v>29</v>
      </c>
      <c r="L494">
        <v>0</v>
      </c>
      <c r="M494">
        <v>7</v>
      </c>
      <c r="N494" t="s">
        <v>126</v>
      </c>
      <c r="O494" t="s">
        <v>25</v>
      </c>
      <c r="P494" t="s">
        <v>256</v>
      </c>
      <c r="Q494" t="s">
        <v>432</v>
      </c>
      <c r="U494" t="str">
        <f t="shared" si="21"/>
        <v>Chasing Won</v>
      </c>
      <c r="X494" t="str">
        <f t="shared" si="22"/>
        <v>No</v>
      </c>
      <c r="AA494" t="str">
        <f t="shared" si="23"/>
        <v>2014</v>
      </c>
    </row>
    <row r="495" spans="1:27" x14ac:dyDescent="0.35">
      <c r="A495">
        <v>494</v>
      </c>
      <c r="B495" t="s">
        <v>529</v>
      </c>
      <c r="C495" t="s">
        <v>516</v>
      </c>
      <c r="D495" t="s">
        <v>555</v>
      </c>
      <c r="E495" t="s">
        <v>146</v>
      </c>
      <c r="F495" t="s">
        <v>141</v>
      </c>
      <c r="G495" t="s">
        <v>146</v>
      </c>
      <c r="H495" t="s">
        <v>50</v>
      </c>
      <c r="I495" t="s">
        <v>23</v>
      </c>
      <c r="J495">
        <v>0</v>
      </c>
      <c r="K495" t="s">
        <v>141</v>
      </c>
      <c r="L495">
        <v>0</v>
      </c>
      <c r="M495">
        <v>5</v>
      </c>
      <c r="N495" t="s">
        <v>430</v>
      </c>
      <c r="O495" t="s">
        <v>517</v>
      </c>
      <c r="P495" t="s">
        <v>436</v>
      </c>
      <c r="Q495" t="s">
        <v>47</v>
      </c>
      <c r="U495" t="str">
        <f t="shared" si="21"/>
        <v>Chasing Won</v>
      </c>
      <c r="X495" t="str">
        <f t="shared" si="22"/>
        <v>No</v>
      </c>
      <c r="AA495" t="str">
        <f t="shared" si="23"/>
        <v>2014</v>
      </c>
    </row>
    <row r="496" spans="1:27" x14ac:dyDescent="0.35">
      <c r="A496">
        <v>495</v>
      </c>
      <c r="B496" t="s">
        <v>529</v>
      </c>
      <c r="C496" t="s">
        <v>48</v>
      </c>
      <c r="D496" t="s">
        <v>555</v>
      </c>
      <c r="E496" t="s">
        <v>21</v>
      </c>
      <c r="F496" t="s">
        <v>49</v>
      </c>
      <c r="G496" t="s">
        <v>49</v>
      </c>
      <c r="H496" t="s">
        <v>22</v>
      </c>
      <c r="I496" t="s">
        <v>23</v>
      </c>
      <c r="J496">
        <v>0</v>
      </c>
      <c r="K496" t="s">
        <v>21</v>
      </c>
      <c r="L496">
        <v>16</v>
      </c>
      <c r="M496">
        <v>0</v>
      </c>
      <c r="N496" t="s">
        <v>24</v>
      </c>
      <c r="O496" t="s">
        <v>52</v>
      </c>
      <c r="P496" t="s">
        <v>485</v>
      </c>
      <c r="Q496" t="s">
        <v>387</v>
      </c>
      <c r="U496" t="str">
        <f t="shared" si="21"/>
        <v>Batting First Won</v>
      </c>
      <c r="X496" t="str">
        <f t="shared" si="22"/>
        <v>No</v>
      </c>
      <c r="AA496" t="str">
        <f t="shared" si="23"/>
        <v>2014</v>
      </c>
    </row>
    <row r="497" spans="1:27" x14ac:dyDescent="0.35">
      <c r="A497">
        <v>496</v>
      </c>
      <c r="B497" t="s">
        <v>529</v>
      </c>
      <c r="C497" t="s">
        <v>19</v>
      </c>
      <c r="D497" t="s">
        <v>556</v>
      </c>
      <c r="E497" t="s">
        <v>20</v>
      </c>
      <c r="F497" t="s">
        <v>43</v>
      </c>
      <c r="G497" t="s">
        <v>43</v>
      </c>
      <c r="H497" t="s">
        <v>22</v>
      </c>
      <c r="I497" t="s">
        <v>23</v>
      </c>
      <c r="J497">
        <v>0</v>
      </c>
      <c r="K497" t="s">
        <v>43</v>
      </c>
      <c r="L497">
        <v>0</v>
      </c>
      <c r="M497">
        <v>6</v>
      </c>
      <c r="N497" t="s">
        <v>122</v>
      </c>
      <c r="O497" t="s">
        <v>25</v>
      </c>
      <c r="P497" t="s">
        <v>432</v>
      </c>
      <c r="Q497" t="s">
        <v>554</v>
      </c>
      <c r="U497" t="str">
        <f t="shared" si="21"/>
        <v>Chasing Won</v>
      </c>
      <c r="X497" t="str">
        <f t="shared" si="22"/>
        <v>Yes</v>
      </c>
      <c r="AA497" t="str">
        <f t="shared" si="23"/>
        <v>2014</v>
      </c>
    </row>
    <row r="498" spans="1:27" x14ac:dyDescent="0.35">
      <c r="A498">
        <v>497</v>
      </c>
      <c r="B498" t="s">
        <v>529</v>
      </c>
      <c r="C498" t="s">
        <v>319</v>
      </c>
      <c r="D498" t="s">
        <v>556</v>
      </c>
      <c r="E498" t="s">
        <v>29</v>
      </c>
      <c r="F498" t="s">
        <v>37</v>
      </c>
      <c r="G498" t="s">
        <v>37</v>
      </c>
      <c r="H498" t="s">
        <v>22</v>
      </c>
      <c r="I498" t="s">
        <v>23</v>
      </c>
      <c r="J498">
        <v>0</v>
      </c>
      <c r="K498" t="s">
        <v>37</v>
      </c>
      <c r="L498">
        <v>0</v>
      </c>
      <c r="M498">
        <v>6</v>
      </c>
      <c r="N498" t="s">
        <v>70</v>
      </c>
      <c r="O498" t="s">
        <v>321</v>
      </c>
      <c r="P498" t="s">
        <v>46</v>
      </c>
      <c r="Q498" t="s">
        <v>27</v>
      </c>
      <c r="U498" t="str">
        <f t="shared" si="21"/>
        <v>Chasing Won</v>
      </c>
      <c r="X498" t="str">
        <f t="shared" si="22"/>
        <v>Yes</v>
      </c>
      <c r="AA498" t="str">
        <f t="shared" si="23"/>
        <v>2014</v>
      </c>
    </row>
    <row r="499" spans="1:27" x14ac:dyDescent="0.35">
      <c r="A499">
        <v>498</v>
      </c>
      <c r="B499" t="s">
        <v>529</v>
      </c>
      <c r="C499" t="s">
        <v>311</v>
      </c>
      <c r="D499" t="s">
        <v>557</v>
      </c>
      <c r="E499" t="s">
        <v>146</v>
      </c>
      <c r="F499" t="s">
        <v>49</v>
      </c>
      <c r="G499" t="s">
        <v>49</v>
      </c>
      <c r="H499" t="s">
        <v>22</v>
      </c>
      <c r="I499" t="s">
        <v>23</v>
      </c>
      <c r="J499">
        <v>0</v>
      </c>
      <c r="K499" t="s">
        <v>146</v>
      </c>
      <c r="L499">
        <v>62</v>
      </c>
      <c r="M499">
        <v>0</v>
      </c>
      <c r="N499" t="s">
        <v>428</v>
      </c>
      <c r="O499" t="s">
        <v>313</v>
      </c>
      <c r="P499" t="s">
        <v>34</v>
      </c>
      <c r="Q499" t="s">
        <v>387</v>
      </c>
      <c r="U499" t="str">
        <f t="shared" si="21"/>
        <v>Batting First Won</v>
      </c>
      <c r="X499" t="str">
        <f t="shared" si="22"/>
        <v>No</v>
      </c>
      <c r="AA499" t="str">
        <f t="shared" si="23"/>
        <v>2014</v>
      </c>
    </row>
    <row r="500" spans="1:27" x14ac:dyDescent="0.35">
      <c r="A500">
        <v>499</v>
      </c>
      <c r="B500" t="s">
        <v>529</v>
      </c>
      <c r="C500" t="s">
        <v>516</v>
      </c>
      <c r="D500" t="s">
        <v>558</v>
      </c>
      <c r="E500" t="s">
        <v>141</v>
      </c>
      <c r="F500" t="s">
        <v>21</v>
      </c>
      <c r="G500" t="s">
        <v>141</v>
      </c>
      <c r="H500" t="s">
        <v>50</v>
      </c>
      <c r="I500" t="s">
        <v>23</v>
      </c>
      <c r="J500">
        <v>0</v>
      </c>
      <c r="K500" t="s">
        <v>21</v>
      </c>
      <c r="L500">
        <v>0</v>
      </c>
      <c r="M500">
        <v>5</v>
      </c>
      <c r="N500" t="s">
        <v>250</v>
      </c>
      <c r="O500" t="s">
        <v>517</v>
      </c>
      <c r="P500" t="s">
        <v>436</v>
      </c>
      <c r="Q500" t="s">
        <v>47</v>
      </c>
      <c r="U500" t="str">
        <f t="shared" si="21"/>
        <v>Chasing Won</v>
      </c>
      <c r="X500" t="str">
        <f t="shared" si="22"/>
        <v>No</v>
      </c>
      <c r="AA500" t="str">
        <f t="shared" si="23"/>
        <v>2014</v>
      </c>
    </row>
    <row r="501" spans="1:27" x14ac:dyDescent="0.35">
      <c r="A501">
        <v>500</v>
      </c>
      <c r="B501" t="s">
        <v>529</v>
      </c>
      <c r="C501" t="s">
        <v>19</v>
      </c>
      <c r="D501" t="s">
        <v>558</v>
      </c>
      <c r="E501" t="s">
        <v>20</v>
      </c>
      <c r="F501" t="s">
        <v>37</v>
      </c>
      <c r="G501" t="s">
        <v>20</v>
      </c>
      <c r="H501" t="s">
        <v>50</v>
      </c>
      <c r="I501" t="s">
        <v>23</v>
      </c>
      <c r="J501">
        <v>0</v>
      </c>
      <c r="K501" t="s">
        <v>37</v>
      </c>
      <c r="L501">
        <v>0</v>
      </c>
      <c r="M501">
        <v>7</v>
      </c>
      <c r="N501" t="s">
        <v>470</v>
      </c>
      <c r="O501" t="s">
        <v>25</v>
      </c>
      <c r="P501" t="s">
        <v>27</v>
      </c>
      <c r="Q501" t="s">
        <v>41</v>
      </c>
      <c r="U501" t="str">
        <f t="shared" si="21"/>
        <v>Chasing Won</v>
      </c>
      <c r="X501" t="str">
        <f t="shared" si="22"/>
        <v>No</v>
      </c>
      <c r="AA501" t="str">
        <f t="shared" si="23"/>
        <v>2014</v>
      </c>
    </row>
    <row r="502" spans="1:27" x14ac:dyDescent="0.35">
      <c r="A502">
        <v>501</v>
      </c>
      <c r="B502" t="s">
        <v>529</v>
      </c>
      <c r="C502" t="s">
        <v>311</v>
      </c>
      <c r="D502" t="s">
        <v>559</v>
      </c>
      <c r="E502" t="s">
        <v>29</v>
      </c>
      <c r="F502" t="s">
        <v>146</v>
      </c>
      <c r="G502" t="s">
        <v>29</v>
      </c>
      <c r="H502" t="s">
        <v>50</v>
      </c>
      <c r="I502" t="s">
        <v>23</v>
      </c>
      <c r="J502">
        <v>0</v>
      </c>
      <c r="K502" t="s">
        <v>29</v>
      </c>
      <c r="L502">
        <v>25</v>
      </c>
      <c r="M502">
        <v>0</v>
      </c>
      <c r="N502" t="s">
        <v>142</v>
      </c>
      <c r="O502" t="s">
        <v>313</v>
      </c>
      <c r="P502" t="s">
        <v>34</v>
      </c>
      <c r="Q502" t="s">
        <v>387</v>
      </c>
      <c r="U502" t="str">
        <f t="shared" si="21"/>
        <v>Batting First Won</v>
      </c>
      <c r="X502" t="str">
        <f t="shared" si="22"/>
        <v>Yes</v>
      </c>
      <c r="AA502" t="str">
        <f t="shared" si="23"/>
        <v>2014</v>
      </c>
    </row>
    <row r="503" spans="1:27" x14ac:dyDescent="0.35">
      <c r="A503">
        <v>502</v>
      </c>
      <c r="B503" t="s">
        <v>529</v>
      </c>
      <c r="C503" t="s">
        <v>71</v>
      </c>
      <c r="D503" t="s">
        <v>559</v>
      </c>
      <c r="E503" t="s">
        <v>49</v>
      </c>
      <c r="F503" t="s">
        <v>43</v>
      </c>
      <c r="G503" t="s">
        <v>43</v>
      </c>
      <c r="H503" t="s">
        <v>22</v>
      </c>
      <c r="I503" t="s">
        <v>23</v>
      </c>
      <c r="J503">
        <v>0</v>
      </c>
      <c r="K503" t="s">
        <v>43</v>
      </c>
      <c r="L503">
        <v>0</v>
      </c>
      <c r="M503">
        <v>4</v>
      </c>
      <c r="N503" t="s">
        <v>58</v>
      </c>
      <c r="O503" t="s">
        <v>73</v>
      </c>
      <c r="P503" t="s">
        <v>256</v>
      </c>
      <c r="Q503" t="s">
        <v>554</v>
      </c>
      <c r="U503" t="str">
        <f t="shared" si="21"/>
        <v>Chasing Won</v>
      </c>
      <c r="X503" t="str">
        <f t="shared" si="22"/>
        <v>Yes</v>
      </c>
      <c r="AA503" t="str">
        <f t="shared" si="23"/>
        <v>2014</v>
      </c>
    </row>
    <row r="504" spans="1:27" x14ac:dyDescent="0.35">
      <c r="A504">
        <v>503</v>
      </c>
      <c r="B504" t="s">
        <v>529</v>
      </c>
      <c r="C504" t="s">
        <v>19</v>
      </c>
      <c r="D504" t="s">
        <v>560</v>
      </c>
      <c r="E504" t="s">
        <v>21</v>
      </c>
      <c r="F504" t="s">
        <v>20</v>
      </c>
      <c r="G504" t="s">
        <v>21</v>
      </c>
      <c r="H504" t="s">
        <v>50</v>
      </c>
      <c r="I504" t="s">
        <v>23</v>
      </c>
      <c r="J504">
        <v>0</v>
      </c>
      <c r="K504" t="s">
        <v>20</v>
      </c>
      <c r="L504">
        <v>0</v>
      </c>
      <c r="M504">
        <v>7</v>
      </c>
      <c r="N504" t="s">
        <v>109</v>
      </c>
      <c r="O504" t="s">
        <v>25</v>
      </c>
      <c r="P504" t="s">
        <v>46</v>
      </c>
      <c r="Q504" t="s">
        <v>27</v>
      </c>
      <c r="U504" t="str">
        <f t="shared" si="21"/>
        <v>Chasing Won</v>
      </c>
      <c r="X504" t="str">
        <f t="shared" si="22"/>
        <v>No</v>
      </c>
      <c r="AA504" t="str">
        <f t="shared" si="23"/>
        <v>2014</v>
      </c>
    </row>
    <row r="505" spans="1:27" x14ac:dyDescent="0.35">
      <c r="A505">
        <v>504</v>
      </c>
      <c r="B505" t="s">
        <v>529</v>
      </c>
      <c r="C505" t="s">
        <v>61</v>
      </c>
      <c r="D505" t="s">
        <v>560</v>
      </c>
      <c r="E505" t="s">
        <v>141</v>
      </c>
      <c r="F505" t="s">
        <v>37</v>
      </c>
      <c r="G505" t="s">
        <v>37</v>
      </c>
      <c r="H505" t="s">
        <v>22</v>
      </c>
      <c r="I505" t="s">
        <v>23</v>
      </c>
      <c r="J505">
        <v>0</v>
      </c>
      <c r="K505" t="s">
        <v>37</v>
      </c>
      <c r="L505">
        <v>0</v>
      </c>
      <c r="M505">
        <v>8</v>
      </c>
      <c r="N505" t="s">
        <v>70</v>
      </c>
      <c r="O505" t="s">
        <v>64</v>
      </c>
      <c r="P505" t="s">
        <v>553</v>
      </c>
      <c r="Q505" t="s">
        <v>47</v>
      </c>
      <c r="U505" t="str">
        <f t="shared" si="21"/>
        <v>Chasing Won</v>
      </c>
      <c r="X505" t="str">
        <f t="shared" si="22"/>
        <v>Yes</v>
      </c>
      <c r="AA505" t="str">
        <f t="shared" si="23"/>
        <v>2014</v>
      </c>
    </row>
    <row r="506" spans="1:27" x14ac:dyDescent="0.35">
      <c r="A506">
        <v>505</v>
      </c>
      <c r="B506" t="s">
        <v>529</v>
      </c>
      <c r="C506" t="s">
        <v>101</v>
      </c>
      <c r="D506" t="s">
        <v>561</v>
      </c>
      <c r="E506" t="s">
        <v>43</v>
      </c>
      <c r="F506" t="s">
        <v>29</v>
      </c>
      <c r="G506" t="s">
        <v>29</v>
      </c>
      <c r="H506" t="s">
        <v>22</v>
      </c>
      <c r="I506" t="s">
        <v>23</v>
      </c>
      <c r="J506">
        <v>0</v>
      </c>
      <c r="K506" t="s">
        <v>29</v>
      </c>
      <c r="L506">
        <v>0</v>
      </c>
      <c r="M506">
        <v>7</v>
      </c>
      <c r="N506" t="s">
        <v>115</v>
      </c>
      <c r="O506" t="s">
        <v>143</v>
      </c>
      <c r="P506" t="s">
        <v>256</v>
      </c>
      <c r="Q506" t="s">
        <v>432</v>
      </c>
      <c r="U506" t="str">
        <f t="shared" si="21"/>
        <v>Chasing Won</v>
      </c>
      <c r="X506" t="str">
        <f t="shared" si="22"/>
        <v>Yes</v>
      </c>
      <c r="AA506" t="str">
        <f t="shared" si="23"/>
        <v>2014</v>
      </c>
    </row>
    <row r="507" spans="1:27" x14ac:dyDescent="0.35">
      <c r="A507">
        <v>506</v>
      </c>
      <c r="B507" t="s">
        <v>529</v>
      </c>
      <c r="C507" t="s">
        <v>61</v>
      </c>
      <c r="D507" t="s">
        <v>562</v>
      </c>
      <c r="E507" t="s">
        <v>37</v>
      </c>
      <c r="F507" t="s">
        <v>21</v>
      </c>
      <c r="G507" t="s">
        <v>21</v>
      </c>
      <c r="H507" t="s">
        <v>22</v>
      </c>
      <c r="I507" t="s">
        <v>23</v>
      </c>
      <c r="J507">
        <v>0</v>
      </c>
      <c r="K507" t="s">
        <v>37</v>
      </c>
      <c r="L507">
        <v>30</v>
      </c>
      <c r="M507">
        <v>0</v>
      </c>
      <c r="N507" t="s">
        <v>70</v>
      </c>
      <c r="O507" t="s">
        <v>64</v>
      </c>
      <c r="P507" t="s">
        <v>46</v>
      </c>
      <c r="Q507" t="s">
        <v>41</v>
      </c>
      <c r="U507" t="str">
        <f t="shared" si="21"/>
        <v>Batting First Won</v>
      </c>
      <c r="X507" t="str">
        <f t="shared" si="22"/>
        <v>No</v>
      </c>
      <c r="AA507" t="str">
        <f t="shared" si="23"/>
        <v>2014</v>
      </c>
    </row>
    <row r="508" spans="1:27" x14ac:dyDescent="0.35">
      <c r="A508">
        <v>507</v>
      </c>
      <c r="B508" t="s">
        <v>529</v>
      </c>
      <c r="C508" t="s">
        <v>516</v>
      </c>
      <c r="D508" t="s">
        <v>562</v>
      </c>
      <c r="E508" t="s">
        <v>141</v>
      </c>
      <c r="F508" t="s">
        <v>20</v>
      </c>
      <c r="G508" t="s">
        <v>20</v>
      </c>
      <c r="H508" t="s">
        <v>22</v>
      </c>
      <c r="I508" t="s">
        <v>23</v>
      </c>
      <c r="J508">
        <v>0</v>
      </c>
      <c r="K508" t="s">
        <v>20</v>
      </c>
      <c r="L508">
        <v>0</v>
      </c>
      <c r="M508">
        <v>6</v>
      </c>
      <c r="N508" t="s">
        <v>109</v>
      </c>
      <c r="O508" t="s">
        <v>517</v>
      </c>
      <c r="P508" t="s">
        <v>436</v>
      </c>
      <c r="Q508" t="s">
        <v>47</v>
      </c>
      <c r="U508" t="str">
        <f t="shared" si="21"/>
        <v>Chasing Won</v>
      </c>
      <c r="X508" t="str">
        <f t="shared" si="22"/>
        <v>Yes</v>
      </c>
      <c r="AA508" t="str">
        <f t="shared" si="23"/>
        <v>2014</v>
      </c>
    </row>
    <row r="509" spans="1:27" x14ac:dyDescent="0.35">
      <c r="A509">
        <v>508</v>
      </c>
      <c r="B509" t="s">
        <v>529</v>
      </c>
      <c r="C509" t="s">
        <v>55</v>
      </c>
      <c r="D509" t="s">
        <v>563</v>
      </c>
      <c r="E509" t="s">
        <v>29</v>
      </c>
      <c r="F509" t="s">
        <v>49</v>
      </c>
      <c r="G509" t="s">
        <v>49</v>
      </c>
      <c r="H509" t="s">
        <v>22</v>
      </c>
      <c r="I509" t="s">
        <v>23</v>
      </c>
      <c r="J509">
        <v>0</v>
      </c>
      <c r="K509" t="s">
        <v>29</v>
      </c>
      <c r="L509">
        <v>15</v>
      </c>
      <c r="M509">
        <v>0</v>
      </c>
      <c r="N509" t="s">
        <v>142</v>
      </c>
      <c r="O509" t="s">
        <v>57</v>
      </c>
      <c r="P509" t="s">
        <v>34</v>
      </c>
      <c r="Q509" t="s">
        <v>387</v>
      </c>
      <c r="U509" t="str">
        <f t="shared" si="21"/>
        <v>Batting First Won</v>
      </c>
      <c r="X509" t="str">
        <f t="shared" si="22"/>
        <v>No</v>
      </c>
      <c r="AA509" t="str">
        <f t="shared" si="23"/>
        <v>2014</v>
      </c>
    </row>
    <row r="510" spans="1:27" x14ac:dyDescent="0.35">
      <c r="A510">
        <v>509</v>
      </c>
      <c r="B510" t="s">
        <v>529</v>
      </c>
      <c r="C510" t="s">
        <v>101</v>
      </c>
      <c r="D510" t="s">
        <v>563</v>
      </c>
      <c r="E510" t="s">
        <v>43</v>
      </c>
      <c r="F510" t="s">
        <v>146</v>
      </c>
      <c r="G510" t="s">
        <v>146</v>
      </c>
      <c r="H510" t="s">
        <v>22</v>
      </c>
      <c r="I510" t="s">
        <v>23</v>
      </c>
      <c r="J510">
        <v>0</v>
      </c>
      <c r="K510" t="s">
        <v>43</v>
      </c>
      <c r="L510">
        <v>16</v>
      </c>
      <c r="M510">
        <v>0</v>
      </c>
      <c r="N510" t="s">
        <v>189</v>
      </c>
      <c r="O510" t="s">
        <v>143</v>
      </c>
      <c r="P510" t="s">
        <v>256</v>
      </c>
      <c r="Q510" t="s">
        <v>554</v>
      </c>
      <c r="U510" t="str">
        <f t="shared" si="21"/>
        <v>Batting First Won</v>
      </c>
      <c r="X510" t="str">
        <f t="shared" si="22"/>
        <v>No</v>
      </c>
      <c r="AA510" t="str">
        <f t="shared" si="23"/>
        <v>2014</v>
      </c>
    </row>
    <row r="511" spans="1:27" x14ac:dyDescent="0.35">
      <c r="A511">
        <v>510</v>
      </c>
      <c r="B511" t="s">
        <v>529</v>
      </c>
      <c r="C511" t="s">
        <v>48</v>
      </c>
      <c r="D511" t="s">
        <v>564</v>
      </c>
      <c r="E511" t="s">
        <v>21</v>
      </c>
      <c r="F511" t="s">
        <v>141</v>
      </c>
      <c r="G511" t="s">
        <v>141</v>
      </c>
      <c r="H511" t="s">
        <v>22</v>
      </c>
      <c r="I511" t="s">
        <v>23</v>
      </c>
      <c r="J511">
        <v>0</v>
      </c>
      <c r="K511" t="s">
        <v>141</v>
      </c>
      <c r="L511">
        <v>0</v>
      </c>
      <c r="M511">
        <v>8</v>
      </c>
      <c r="N511" t="s">
        <v>93</v>
      </c>
      <c r="O511" t="s">
        <v>52</v>
      </c>
      <c r="P511" t="s">
        <v>46</v>
      </c>
      <c r="Q511" t="s">
        <v>27</v>
      </c>
      <c r="U511" t="str">
        <f t="shared" si="21"/>
        <v>Chasing Won</v>
      </c>
      <c r="X511" t="str">
        <f t="shared" si="22"/>
        <v>Yes</v>
      </c>
      <c r="AA511" t="str">
        <f t="shared" si="23"/>
        <v>2014</v>
      </c>
    </row>
    <row r="512" spans="1:27" x14ac:dyDescent="0.35">
      <c r="A512">
        <v>511</v>
      </c>
      <c r="B512" t="s">
        <v>529</v>
      </c>
      <c r="C512" t="s">
        <v>61</v>
      </c>
      <c r="D512" t="s">
        <v>564</v>
      </c>
      <c r="E512" t="s">
        <v>20</v>
      </c>
      <c r="F512" t="s">
        <v>37</v>
      </c>
      <c r="G512" t="s">
        <v>37</v>
      </c>
      <c r="H512" t="s">
        <v>22</v>
      </c>
      <c r="I512" t="s">
        <v>23</v>
      </c>
      <c r="J512">
        <v>0</v>
      </c>
      <c r="K512" t="s">
        <v>37</v>
      </c>
      <c r="L512">
        <v>0</v>
      </c>
      <c r="M512">
        <v>4</v>
      </c>
      <c r="N512" t="s">
        <v>172</v>
      </c>
      <c r="O512" t="s">
        <v>64</v>
      </c>
      <c r="P512" t="s">
        <v>553</v>
      </c>
      <c r="Q512" t="s">
        <v>436</v>
      </c>
      <c r="U512" t="str">
        <f t="shared" si="21"/>
        <v>Chasing Won</v>
      </c>
      <c r="X512" t="str">
        <f t="shared" si="22"/>
        <v>Yes</v>
      </c>
      <c r="AA512" t="str">
        <f t="shared" si="23"/>
        <v>2014</v>
      </c>
    </row>
    <row r="513" spans="1:27" x14ac:dyDescent="0.35">
      <c r="A513">
        <v>512</v>
      </c>
      <c r="B513" t="s">
        <v>529</v>
      </c>
      <c r="C513" t="s">
        <v>101</v>
      </c>
      <c r="D513" t="s">
        <v>565</v>
      </c>
      <c r="E513" t="s">
        <v>49</v>
      </c>
      <c r="F513" t="s">
        <v>43</v>
      </c>
      <c r="G513" t="s">
        <v>43</v>
      </c>
      <c r="H513" t="s">
        <v>22</v>
      </c>
      <c r="I513" t="s">
        <v>23</v>
      </c>
      <c r="J513">
        <v>0</v>
      </c>
      <c r="K513" t="s">
        <v>43</v>
      </c>
      <c r="L513">
        <v>0</v>
      </c>
      <c r="M513">
        <v>7</v>
      </c>
      <c r="N513" t="s">
        <v>482</v>
      </c>
      <c r="O513" t="s">
        <v>143</v>
      </c>
      <c r="P513" t="s">
        <v>256</v>
      </c>
      <c r="Q513" t="s">
        <v>432</v>
      </c>
      <c r="U513" t="str">
        <f t="shared" si="21"/>
        <v>Chasing Won</v>
      </c>
      <c r="X513" t="str">
        <f t="shared" si="22"/>
        <v>Yes</v>
      </c>
      <c r="AA513" t="str">
        <f t="shared" si="23"/>
        <v>2014</v>
      </c>
    </row>
    <row r="514" spans="1:27" x14ac:dyDescent="0.35">
      <c r="A514">
        <v>513</v>
      </c>
      <c r="B514" t="s">
        <v>529</v>
      </c>
      <c r="C514" t="s">
        <v>55</v>
      </c>
      <c r="D514" t="s">
        <v>565</v>
      </c>
      <c r="E514" t="s">
        <v>146</v>
      </c>
      <c r="F514" t="s">
        <v>29</v>
      </c>
      <c r="G514" t="s">
        <v>29</v>
      </c>
      <c r="H514" t="s">
        <v>22</v>
      </c>
      <c r="I514" t="s">
        <v>23</v>
      </c>
      <c r="J514">
        <v>0</v>
      </c>
      <c r="K514" t="s">
        <v>29</v>
      </c>
      <c r="L514">
        <v>0</v>
      </c>
      <c r="M514">
        <v>5</v>
      </c>
      <c r="N514" t="s">
        <v>72</v>
      </c>
      <c r="O514" t="s">
        <v>57</v>
      </c>
      <c r="P514" t="s">
        <v>485</v>
      </c>
      <c r="Q514" t="s">
        <v>387</v>
      </c>
      <c r="U514" t="str">
        <f t="shared" si="21"/>
        <v>Chasing Won</v>
      </c>
      <c r="X514" t="str">
        <f t="shared" si="22"/>
        <v>Yes</v>
      </c>
      <c r="AA514" t="str">
        <f t="shared" si="23"/>
        <v>2014</v>
      </c>
    </row>
    <row r="515" spans="1:27" x14ac:dyDescent="0.35">
      <c r="A515">
        <v>514</v>
      </c>
      <c r="B515" t="s">
        <v>529</v>
      </c>
      <c r="C515" t="s">
        <v>61</v>
      </c>
      <c r="D515" t="s">
        <v>566</v>
      </c>
      <c r="E515" t="s">
        <v>37</v>
      </c>
      <c r="F515" t="s">
        <v>43</v>
      </c>
      <c r="G515" t="s">
        <v>43</v>
      </c>
      <c r="H515" t="s">
        <v>22</v>
      </c>
      <c r="I515" t="s">
        <v>23</v>
      </c>
      <c r="J515">
        <v>0</v>
      </c>
      <c r="K515" t="s">
        <v>37</v>
      </c>
      <c r="L515">
        <v>28</v>
      </c>
      <c r="M515">
        <v>0</v>
      </c>
      <c r="N515" t="s">
        <v>470</v>
      </c>
      <c r="O515" t="s">
        <v>64</v>
      </c>
      <c r="P515" t="s">
        <v>27</v>
      </c>
      <c r="Q515" t="s">
        <v>34</v>
      </c>
      <c r="U515" t="str">
        <f t="shared" ref="U515:U578" si="24">IF(L515&gt;0,"Batting First Won","Chasing Won")</f>
        <v>Batting First Won</v>
      </c>
      <c r="X515" t="str">
        <f t="shared" ref="X515:X578" si="25">IF(G515=K515,"Yes","No")</f>
        <v>No</v>
      </c>
      <c r="AA515" t="str">
        <f t="shared" ref="AA515:AA578" si="26">RIGHT(B515,4)</f>
        <v>2014</v>
      </c>
    </row>
    <row r="516" spans="1:27" x14ac:dyDescent="0.35">
      <c r="A516">
        <v>515</v>
      </c>
      <c r="B516" t="s">
        <v>529</v>
      </c>
      <c r="C516" t="s">
        <v>55</v>
      </c>
      <c r="D516" t="s">
        <v>567</v>
      </c>
      <c r="E516" t="s">
        <v>29</v>
      </c>
      <c r="F516" t="s">
        <v>141</v>
      </c>
      <c r="G516" t="s">
        <v>141</v>
      </c>
      <c r="H516" t="s">
        <v>22</v>
      </c>
      <c r="I516" t="s">
        <v>23</v>
      </c>
      <c r="J516">
        <v>0</v>
      </c>
      <c r="K516" t="s">
        <v>141</v>
      </c>
      <c r="L516">
        <v>0</v>
      </c>
      <c r="M516">
        <v>7</v>
      </c>
      <c r="N516" t="s">
        <v>90</v>
      </c>
      <c r="O516" t="s">
        <v>307</v>
      </c>
      <c r="P516" t="s">
        <v>432</v>
      </c>
      <c r="Q516" t="s">
        <v>436</v>
      </c>
      <c r="U516" t="str">
        <f t="shared" si="24"/>
        <v>Chasing Won</v>
      </c>
      <c r="X516" t="str">
        <f t="shared" si="25"/>
        <v>Yes</v>
      </c>
      <c r="AA516" t="str">
        <f t="shared" si="26"/>
        <v>2014</v>
      </c>
    </row>
    <row r="517" spans="1:27" x14ac:dyDescent="0.35">
      <c r="A517">
        <v>516</v>
      </c>
      <c r="B517" t="s">
        <v>529</v>
      </c>
      <c r="C517" t="s">
        <v>55</v>
      </c>
      <c r="D517" t="s">
        <v>568</v>
      </c>
      <c r="E517" t="s">
        <v>43</v>
      </c>
      <c r="F517" t="s">
        <v>141</v>
      </c>
      <c r="G517" t="s">
        <v>141</v>
      </c>
      <c r="H517" t="s">
        <v>22</v>
      </c>
      <c r="I517" t="s">
        <v>23</v>
      </c>
      <c r="J517">
        <v>0</v>
      </c>
      <c r="K517" t="s">
        <v>43</v>
      </c>
      <c r="L517">
        <v>24</v>
      </c>
      <c r="M517">
        <v>0</v>
      </c>
      <c r="N517" t="s">
        <v>164</v>
      </c>
      <c r="O517" t="s">
        <v>57</v>
      </c>
      <c r="P517" t="s">
        <v>256</v>
      </c>
      <c r="Q517" t="s">
        <v>387</v>
      </c>
      <c r="U517" t="str">
        <f t="shared" si="24"/>
        <v>Batting First Won</v>
      </c>
      <c r="X517" t="str">
        <f t="shared" si="25"/>
        <v>No</v>
      </c>
      <c r="AA517" t="str">
        <f t="shared" si="26"/>
        <v>2014</v>
      </c>
    </row>
    <row r="518" spans="1:27" x14ac:dyDescent="0.35">
      <c r="A518">
        <v>517</v>
      </c>
      <c r="B518" t="s">
        <v>529</v>
      </c>
      <c r="C518" t="s">
        <v>48</v>
      </c>
      <c r="D518" s="1">
        <v>41645</v>
      </c>
      <c r="E518" t="s">
        <v>43</v>
      </c>
      <c r="F518" t="s">
        <v>37</v>
      </c>
      <c r="G518" t="s">
        <v>37</v>
      </c>
      <c r="H518" t="s">
        <v>22</v>
      </c>
      <c r="I518" t="s">
        <v>23</v>
      </c>
      <c r="J518">
        <v>0</v>
      </c>
      <c r="K518" t="s">
        <v>37</v>
      </c>
      <c r="L518">
        <v>0</v>
      </c>
      <c r="M518">
        <v>3</v>
      </c>
      <c r="N518" t="s">
        <v>300</v>
      </c>
      <c r="O518" t="s">
        <v>52</v>
      </c>
      <c r="P518" t="s">
        <v>256</v>
      </c>
      <c r="Q518" t="s">
        <v>436</v>
      </c>
      <c r="U518" t="str">
        <f t="shared" si="24"/>
        <v>Chasing Won</v>
      </c>
      <c r="X518" t="str">
        <f t="shared" si="25"/>
        <v>Yes</v>
      </c>
      <c r="AA518" t="str">
        <f t="shared" si="26"/>
        <v>2014</v>
      </c>
    </row>
    <row r="519" spans="1:27" x14ac:dyDescent="0.35">
      <c r="A519">
        <v>518</v>
      </c>
      <c r="B519" t="s">
        <v>569</v>
      </c>
      <c r="C519" t="s">
        <v>61</v>
      </c>
      <c r="D519" s="1">
        <v>42220</v>
      </c>
      <c r="E519" t="s">
        <v>29</v>
      </c>
      <c r="F519" t="s">
        <v>37</v>
      </c>
      <c r="G519" t="s">
        <v>37</v>
      </c>
      <c r="H519" t="s">
        <v>22</v>
      </c>
      <c r="I519" t="s">
        <v>23</v>
      </c>
      <c r="J519">
        <v>0</v>
      </c>
      <c r="K519" t="s">
        <v>37</v>
      </c>
      <c r="L519">
        <v>0</v>
      </c>
      <c r="M519">
        <v>7</v>
      </c>
      <c r="N519" t="s">
        <v>435</v>
      </c>
      <c r="O519" t="s">
        <v>64</v>
      </c>
      <c r="P519" t="s">
        <v>34</v>
      </c>
      <c r="Q519" t="s">
        <v>47</v>
      </c>
      <c r="U519" t="str">
        <f t="shared" si="24"/>
        <v>Chasing Won</v>
      </c>
      <c r="X519" t="str">
        <f t="shared" si="25"/>
        <v>Yes</v>
      </c>
      <c r="AA519" t="str">
        <f t="shared" si="26"/>
        <v>2015</v>
      </c>
    </row>
    <row r="520" spans="1:27" x14ac:dyDescent="0.35">
      <c r="A520">
        <v>519</v>
      </c>
      <c r="B520" t="s">
        <v>569</v>
      </c>
      <c r="C520" t="s">
        <v>167</v>
      </c>
      <c r="D520" s="1">
        <v>42251</v>
      </c>
      <c r="E520" t="s">
        <v>141</v>
      </c>
      <c r="F520" t="s">
        <v>49</v>
      </c>
      <c r="G520" t="s">
        <v>49</v>
      </c>
      <c r="H520" t="s">
        <v>22</v>
      </c>
      <c r="I520" t="s">
        <v>23</v>
      </c>
      <c r="J520">
        <v>0</v>
      </c>
      <c r="K520" t="s">
        <v>141</v>
      </c>
      <c r="L520">
        <v>1</v>
      </c>
      <c r="M520">
        <v>0</v>
      </c>
      <c r="N520" t="s">
        <v>197</v>
      </c>
      <c r="O520" t="s">
        <v>170</v>
      </c>
      <c r="P520" t="s">
        <v>533</v>
      </c>
      <c r="Q520" t="s">
        <v>432</v>
      </c>
      <c r="U520" t="str">
        <f t="shared" si="24"/>
        <v>Batting First Won</v>
      </c>
      <c r="X520" t="str">
        <f t="shared" si="25"/>
        <v>No</v>
      </c>
      <c r="AA520" t="str">
        <f t="shared" si="26"/>
        <v>2015</v>
      </c>
    </row>
    <row r="521" spans="1:27" x14ac:dyDescent="0.35">
      <c r="A521">
        <v>520</v>
      </c>
      <c r="B521" t="s">
        <v>569</v>
      </c>
      <c r="C521" t="s">
        <v>28</v>
      </c>
      <c r="D521" s="1">
        <v>42281</v>
      </c>
      <c r="E521" t="s">
        <v>146</v>
      </c>
      <c r="F521" t="s">
        <v>43</v>
      </c>
      <c r="G521" t="s">
        <v>43</v>
      </c>
      <c r="H521" t="s">
        <v>22</v>
      </c>
      <c r="I521" t="s">
        <v>23</v>
      </c>
      <c r="J521">
        <v>0</v>
      </c>
      <c r="K521" t="s">
        <v>146</v>
      </c>
      <c r="L521">
        <v>26</v>
      </c>
      <c r="M521">
        <v>0</v>
      </c>
      <c r="N521" t="s">
        <v>489</v>
      </c>
      <c r="O521" t="s">
        <v>32</v>
      </c>
      <c r="P521" t="s">
        <v>570</v>
      </c>
      <c r="Q521" t="s">
        <v>85</v>
      </c>
      <c r="U521" t="str">
        <f t="shared" si="24"/>
        <v>Batting First Won</v>
      </c>
      <c r="X521" t="str">
        <f t="shared" si="25"/>
        <v>No</v>
      </c>
      <c r="AA521" t="str">
        <f t="shared" si="26"/>
        <v>2015</v>
      </c>
    </row>
    <row r="522" spans="1:27" x14ac:dyDescent="0.35">
      <c r="A522">
        <v>521</v>
      </c>
      <c r="B522" t="s">
        <v>569</v>
      </c>
      <c r="C522" t="s">
        <v>167</v>
      </c>
      <c r="D522" s="1">
        <v>42312</v>
      </c>
      <c r="E522" t="s">
        <v>141</v>
      </c>
      <c r="F522" t="s">
        <v>20</v>
      </c>
      <c r="G522" t="s">
        <v>141</v>
      </c>
      <c r="H522" t="s">
        <v>50</v>
      </c>
      <c r="I522" t="s">
        <v>23</v>
      </c>
      <c r="J522">
        <v>0</v>
      </c>
      <c r="K522" t="s">
        <v>141</v>
      </c>
      <c r="L522">
        <v>45</v>
      </c>
      <c r="M522">
        <v>0</v>
      </c>
      <c r="N522" t="s">
        <v>137</v>
      </c>
      <c r="O522" t="s">
        <v>170</v>
      </c>
      <c r="P522" t="s">
        <v>533</v>
      </c>
      <c r="Q522" t="s">
        <v>432</v>
      </c>
      <c r="U522" t="str">
        <f t="shared" si="24"/>
        <v>Batting First Won</v>
      </c>
      <c r="X522" t="str">
        <f t="shared" si="25"/>
        <v>Yes</v>
      </c>
      <c r="AA522" t="str">
        <f t="shared" si="26"/>
        <v>2015</v>
      </c>
    </row>
    <row r="523" spans="1:27" x14ac:dyDescent="0.35">
      <c r="A523">
        <v>522</v>
      </c>
      <c r="B523" t="s">
        <v>569</v>
      </c>
      <c r="C523" t="s">
        <v>61</v>
      </c>
      <c r="D523" s="1">
        <v>42312</v>
      </c>
      <c r="E523" t="s">
        <v>37</v>
      </c>
      <c r="F523" t="s">
        <v>21</v>
      </c>
      <c r="G523" t="s">
        <v>21</v>
      </c>
      <c r="H523" t="s">
        <v>22</v>
      </c>
      <c r="I523" t="s">
        <v>23</v>
      </c>
      <c r="J523">
        <v>0</v>
      </c>
      <c r="K523" t="s">
        <v>21</v>
      </c>
      <c r="L523">
        <v>0</v>
      </c>
      <c r="M523">
        <v>3</v>
      </c>
      <c r="N523" t="s">
        <v>81</v>
      </c>
      <c r="O523" t="s">
        <v>64</v>
      </c>
      <c r="P523" t="s">
        <v>34</v>
      </c>
      <c r="Q523" t="s">
        <v>47</v>
      </c>
      <c r="U523" t="str">
        <f t="shared" si="24"/>
        <v>Chasing Won</v>
      </c>
      <c r="X523" t="str">
        <f t="shared" si="25"/>
        <v>Yes</v>
      </c>
      <c r="AA523" t="str">
        <f t="shared" si="26"/>
        <v>2015</v>
      </c>
    </row>
    <row r="524" spans="1:27" x14ac:dyDescent="0.35">
      <c r="A524">
        <v>523</v>
      </c>
      <c r="B524" t="s">
        <v>569</v>
      </c>
      <c r="C524" t="s">
        <v>71</v>
      </c>
      <c r="D524" s="1">
        <v>42342</v>
      </c>
      <c r="E524" t="s">
        <v>49</v>
      </c>
      <c r="F524" t="s">
        <v>146</v>
      </c>
      <c r="G524" t="s">
        <v>146</v>
      </c>
      <c r="H524" t="s">
        <v>22</v>
      </c>
      <c r="I524" t="s">
        <v>23</v>
      </c>
      <c r="J524">
        <v>0</v>
      </c>
      <c r="K524" t="s">
        <v>146</v>
      </c>
      <c r="L524">
        <v>0</v>
      </c>
      <c r="M524">
        <v>3</v>
      </c>
      <c r="N524" t="s">
        <v>571</v>
      </c>
      <c r="O524" t="s">
        <v>73</v>
      </c>
      <c r="P524" t="s">
        <v>570</v>
      </c>
      <c r="Q524" t="s">
        <v>85</v>
      </c>
      <c r="U524" t="str">
        <f t="shared" si="24"/>
        <v>Chasing Won</v>
      </c>
      <c r="X524" t="str">
        <f t="shared" si="25"/>
        <v>Yes</v>
      </c>
      <c r="AA524" t="str">
        <f t="shared" si="26"/>
        <v>2015</v>
      </c>
    </row>
    <row r="525" spans="1:27" x14ac:dyDescent="0.35">
      <c r="A525">
        <v>524</v>
      </c>
      <c r="B525" t="s">
        <v>569</v>
      </c>
      <c r="C525" t="s">
        <v>55</v>
      </c>
      <c r="D525" s="1">
        <v>42342</v>
      </c>
      <c r="E525" t="s">
        <v>43</v>
      </c>
      <c r="F525" t="s">
        <v>29</v>
      </c>
      <c r="G525" t="s">
        <v>29</v>
      </c>
      <c r="H525" t="s">
        <v>22</v>
      </c>
      <c r="I525" t="s">
        <v>23</v>
      </c>
      <c r="J525">
        <v>0</v>
      </c>
      <c r="K525" t="s">
        <v>43</v>
      </c>
      <c r="L525">
        <v>18</v>
      </c>
      <c r="M525">
        <v>0</v>
      </c>
      <c r="N525" t="s">
        <v>572</v>
      </c>
      <c r="O525" t="s">
        <v>57</v>
      </c>
      <c r="P525" t="s">
        <v>46</v>
      </c>
      <c r="Q525" t="s">
        <v>573</v>
      </c>
      <c r="U525" t="str">
        <f t="shared" si="24"/>
        <v>Batting First Won</v>
      </c>
      <c r="X525" t="str">
        <f t="shared" si="25"/>
        <v>No</v>
      </c>
      <c r="AA525" t="str">
        <f t="shared" si="26"/>
        <v>2015</v>
      </c>
    </row>
    <row r="526" spans="1:27" x14ac:dyDescent="0.35">
      <c r="A526">
        <v>525</v>
      </c>
      <c r="B526" t="s">
        <v>569</v>
      </c>
      <c r="C526" t="s">
        <v>48</v>
      </c>
      <c r="D526" t="s">
        <v>574</v>
      </c>
      <c r="E526" t="s">
        <v>21</v>
      </c>
      <c r="F526" t="s">
        <v>20</v>
      </c>
      <c r="G526" t="s">
        <v>20</v>
      </c>
      <c r="H526" t="s">
        <v>22</v>
      </c>
      <c r="I526" t="s">
        <v>23</v>
      </c>
      <c r="J526">
        <v>0</v>
      </c>
      <c r="K526" t="s">
        <v>20</v>
      </c>
      <c r="L526">
        <v>0</v>
      </c>
      <c r="M526">
        <v>8</v>
      </c>
      <c r="N526" t="s">
        <v>109</v>
      </c>
      <c r="O526" t="s">
        <v>52</v>
      </c>
      <c r="P526" t="s">
        <v>553</v>
      </c>
      <c r="Q526" t="s">
        <v>533</v>
      </c>
      <c r="U526" t="str">
        <f t="shared" si="24"/>
        <v>Chasing Won</v>
      </c>
      <c r="X526" t="str">
        <f t="shared" si="25"/>
        <v>Yes</v>
      </c>
      <c r="AA526" t="str">
        <f t="shared" si="26"/>
        <v>2015</v>
      </c>
    </row>
    <row r="527" spans="1:27" x14ac:dyDescent="0.35">
      <c r="A527">
        <v>526</v>
      </c>
      <c r="B527" t="s">
        <v>569</v>
      </c>
      <c r="C527" t="s">
        <v>311</v>
      </c>
      <c r="D527" t="s">
        <v>575</v>
      </c>
      <c r="E527" t="s">
        <v>29</v>
      </c>
      <c r="F527" t="s">
        <v>146</v>
      </c>
      <c r="G527" t="s">
        <v>29</v>
      </c>
      <c r="H527" t="s">
        <v>50</v>
      </c>
      <c r="I527" t="s">
        <v>23</v>
      </c>
      <c r="J527">
        <v>0</v>
      </c>
      <c r="K527" t="s">
        <v>146</v>
      </c>
      <c r="L527">
        <v>0</v>
      </c>
      <c r="M527">
        <v>7</v>
      </c>
      <c r="N527" t="s">
        <v>31</v>
      </c>
      <c r="O527" t="s">
        <v>313</v>
      </c>
      <c r="P527" t="s">
        <v>46</v>
      </c>
      <c r="Q527" t="s">
        <v>570</v>
      </c>
      <c r="U527" t="str">
        <f t="shared" si="24"/>
        <v>Chasing Won</v>
      </c>
      <c r="X527" t="str">
        <f t="shared" si="25"/>
        <v>No</v>
      </c>
      <c r="AA527" t="str">
        <f t="shared" si="26"/>
        <v>2015</v>
      </c>
    </row>
    <row r="528" spans="1:27" x14ac:dyDescent="0.35">
      <c r="A528">
        <v>527</v>
      </c>
      <c r="B528" t="s">
        <v>569</v>
      </c>
      <c r="C528" t="s">
        <v>61</v>
      </c>
      <c r="D528" t="s">
        <v>576</v>
      </c>
      <c r="E528" t="s">
        <v>141</v>
      </c>
      <c r="F528" t="s">
        <v>37</v>
      </c>
      <c r="G528" t="s">
        <v>37</v>
      </c>
      <c r="H528" t="s">
        <v>22</v>
      </c>
      <c r="I528" t="s">
        <v>23</v>
      </c>
      <c r="J528">
        <v>0</v>
      </c>
      <c r="K528" t="s">
        <v>37</v>
      </c>
      <c r="L528">
        <v>0</v>
      </c>
      <c r="M528">
        <v>7</v>
      </c>
      <c r="N528" t="s">
        <v>577</v>
      </c>
      <c r="O528" t="s">
        <v>64</v>
      </c>
      <c r="P528" t="s">
        <v>46</v>
      </c>
      <c r="Q528" t="s">
        <v>88</v>
      </c>
      <c r="U528" t="str">
        <f t="shared" si="24"/>
        <v>Chasing Won</v>
      </c>
      <c r="X528" t="str">
        <f t="shared" si="25"/>
        <v>Yes</v>
      </c>
      <c r="AA528" t="str">
        <f t="shared" si="26"/>
        <v>2015</v>
      </c>
    </row>
    <row r="529" spans="1:27" x14ac:dyDescent="0.35">
      <c r="A529">
        <v>528</v>
      </c>
      <c r="B529" t="s">
        <v>569</v>
      </c>
      <c r="C529" t="s">
        <v>28</v>
      </c>
      <c r="D529" t="s">
        <v>578</v>
      </c>
      <c r="E529" t="s">
        <v>43</v>
      </c>
      <c r="F529" t="s">
        <v>49</v>
      </c>
      <c r="G529" t="s">
        <v>43</v>
      </c>
      <c r="H529" t="s">
        <v>50</v>
      </c>
      <c r="I529" t="s">
        <v>23</v>
      </c>
      <c r="J529">
        <v>0</v>
      </c>
      <c r="K529" t="s">
        <v>49</v>
      </c>
      <c r="L529">
        <v>0</v>
      </c>
      <c r="M529">
        <v>5</v>
      </c>
      <c r="N529" t="s">
        <v>579</v>
      </c>
      <c r="O529" t="s">
        <v>32</v>
      </c>
      <c r="P529" t="s">
        <v>85</v>
      </c>
      <c r="Q529" t="s">
        <v>485</v>
      </c>
      <c r="U529" t="str">
        <f t="shared" si="24"/>
        <v>Chasing Won</v>
      </c>
      <c r="X529" t="str">
        <f t="shared" si="25"/>
        <v>No</v>
      </c>
      <c r="AA529" t="str">
        <f t="shared" si="26"/>
        <v>2015</v>
      </c>
    </row>
    <row r="530" spans="1:27" x14ac:dyDescent="0.35">
      <c r="A530">
        <v>529</v>
      </c>
      <c r="B530" t="s">
        <v>569</v>
      </c>
      <c r="C530" t="s">
        <v>429</v>
      </c>
      <c r="D530" t="s">
        <v>580</v>
      </c>
      <c r="E530" t="s">
        <v>20</v>
      </c>
      <c r="F530" t="s">
        <v>146</v>
      </c>
      <c r="G530" t="s">
        <v>146</v>
      </c>
      <c r="H530" t="s">
        <v>22</v>
      </c>
      <c r="I530" t="s">
        <v>23</v>
      </c>
      <c r="J530">
        <v>0</v>
      </c>
      <c r="K530" t="s">
        <v>146</v>
      </c>
      <c r="L530">
        <v>0</v>
      </c>
      <c r="M530">
        <v>6</v>
      </c>
      <c r="N530" t="s">
        <v>428</v>
      </c>
      <c r="O530" t="s">
        <v>431</v>
      </c>
      <c r="P530" t="s">
        <v>554</v>
      </c>
      <c r="Q530" t="s">
        <v>34</v>
      </c>
      <c r="U530" t="str">
        <f t="shared" si="24"/>
        <v>Chasing Won</v>
      </c>
      <c r="X530" t="str">
        <f t="shared" si="25"/>
        <v>Yes</v>
      </c>
      <c r="AA530" t="str">
        <f t="shared" si="26"/>
        <v>2015</v>
      </c>
    </row>
    <row r="531" spans="1:27" x14ac:dyDescent="0.35">
      <c r="A531">
        <v>530</v>
      </c>
      <c r="B531" t="s">
        <v>569</v>
      </c>
      <c r="C531" t="s">
        <v>55</v>
      </c>
      <c r="D531" t="s">
        <v>581</v>
      </c>
      <c r="E531" t="s">
        <v>29</v>
      </c>
      <c r="F531" t="s">
        <v>141</v>
      </c>
      <c r="G531" t="s">
        <v>29</v>
      </c>
      <c r="H531" t="s">
        <v>50</v>
      </c>
      <c r="I531" t="s">
        <v>23</v>
      </c>
      <c r="J531">
        <v>0</v>
      </c>
      <c r="K531" t="s">
        <v>141</v>
      </c>
      <c r="L531">
        <v>0</v>
      </c>
      <c r="M531">
        <v>6</v>
      </c>
      <c r="N531" t="s">
        <v>197</v>
      </c>
      <c r="O531" t="s">
        <v>57</v>
      </c>
      <c r="P531" t="s">
        <v>46</v>
      </c>
      <c r="Q531" t="s">
        <v>88</v>
      </c>
      <c r="U531" t="str">
        <f t="shared" si="24"/>
        <v>Chasing Won</v>
      </c>
      <c r="X531" t="str">
        <f t="shared" si="25"/>
        <v>No</v>
      </c>
      <c r="AA531" t="str">
        <f t="shared" si="26"/>
        <v>2015</v>
      </c>
    </row>
    <row r="532" spans="1:27" x14ac:dyDescent="0.35">
      <c r="A532">
        <v>531</v>
      </c>
      <c r="B532" t="s">
        <v>569</v>
      </c>
      <c r="C532" t="s">
        <v>429</v>
      </c>
      <c r="D532" t="s">
        <v>582</v>
      </c>
      <c r="E532" t="s">
        <v>49</v>
      </c>
      <c r="F532" t="s">
        <v>20</v>
      </c>
      <c r="G532" t="s">
        <v>49</v>
      </c>
      <c r="H532" t="s">
        <v>50</v>
      </c>
      <c r="I532" t="s">
        <v>23</v>
      </c>
      <c r="J532">
        <v>0</v>
      </c>
      <c r="K532" t="s">
        <v>49</v>
      </c>
      <c r="L532">
        <v>4</v>
      </c>
      <c r="M532">
        <v>0</v>
      </c>
      <c r="N532" t="s">
        <v>270</v>
      </c>
      <c r="O532" t="s">
        <v>431</v>
      </c>
      <c r="P532" t="s">
        <v>554</v>
      </c>
      <c r="Q532" t="s">
        <v>34</v>
      </c>
      <c r="U532" t="str">
        <f t="shared" si="24"/>
        <v>Batting First Won</v>
      </c>
      <c r="X532" t="str">
        <f t="shared" si="25"/>
        <v>Yes</v>
      </c>
      <c r="AA532" t="str">
        <f t="shared" si="26"/>
        <v>2015</v>
      </c>
    </row>
    <row r="533" spans="1:27" x14ac:dyDescent="0.35">
      <c r="A533">
        <v>532</v>
      </c>
      <c r="B533" t="s">
        <v>569</v>
      </c>
      <c r="C533" t="s">
        <v>28</v>
      </c>
      <c r="D533" t="s">
        <v>582</v>
      </c>
      <c r="E533" t="s">
        <v>43</v>
      </c>
      <c r="F533" t="s">
        <v>37</v>
      </c>
      <c r="G533" t="s">
        <v>37</v>
      </c>
      <c r="H533" t="s">
        <v>22</v>
      </c>
      <c r="I533" t="s">
        <v>23</v>
      </c>
      <c r="J533">
        <v>0</v>
      </c>
      <c r="K533" t="s">
        <v>37</v>
      </c>
      <c r="L533">
        <v>0</v>
      </c>
      <c r="M533">
        <v>4</v>
      </c>
      <c r="N533" t="s">
        <v>577</v>
      </c>
      <c r="O533" t="s">
        <v>32</v>
      </c>
      <c r="P533" t="s">
        <v>570</v>
      </c>
      <c r="Q533" t="s">
        <v>41</v>
      </c>
      <c r="U533" t="str">
        <f t="shared" si="24"/>
        <v>Chasing Won</v>
      </c>
      <c r="X533" t="str">
        <f t="shared" si="25"/>
        <v>Yes</v>
      </c>
      <c r="AA533" t="str">
        <f t="shared" si="26"/>
        <v>2015</v>
      </c>
    </row>
    <row r="534" spans="1:27" x14ac:dyDescent="0.35">
      <c r="A534">
        <v>533</v>
      </c>
      <c r="B534" t="s">
        <v>569</v>
      </c>
      <c r="C534" t="s">
        <v>311</v>
      </c>
      <c r="D534" t="s">
        <v>583</v>
      </c>
      <c r="E534" t="s">
        <v>141</v>
      </c>
      <c r="F534" t="s">
        <v>146</v>
      </c>
      <c r="G534" t="s">
        <v>141</v>
      </c>
      <c r="H534" t="s">
        <v>50</v>
      </c>
      <c r="I534" t="s">
        <v>23</v>
      </c>
      <c r="J534">
        <v>0</v>
      </c>
      <c r="K534" t="s">
        <v>146</v>
      </c>
      <c r="L534">
        <v>0</v>
      </c>
      <c r="M534">
        <v>8</v>
      </c>
      <c r="N534" t="s">
        <v>428</v>
      </c>
      <c r="O534" t="s">
        <v>313</v>
      </c>
      <c r="P534" t="s">
        <v>46</v>
      </c>
      <c r="Q534" t="s">
        <v>88</v>
      </c>
      <c r="U534" t="str">
        <f t="shared" si="24"/>
        <v>Chasing Won</v>
      </c>
      <c r="X534" t="str">
        <f t="shared" si="25"/>
        <v>No</v>
      </c>
      <c r="AA534" t="str">
        <f t="shared" si="26"/>
        <v>2015</v>
      </c>
    </row>
    <row r="535" spans="1:27" x14ac:dyDescent="0.35">
      <c r="A535">
        <v>534</v>
      </c>
      <c r="B535" t="s">
        <v>569</v>
      </c>
      <c r="C535" t="s">
        <v>48</v>
      </c>
      <c r="D535" t="s">
        <v>583</v>
      </c>
      <c r="E535" t="s">
        <v>29</v>
      </c>
      <c r="F535" t="s">
        <v>21</v>
      </c>
      <c r="G535" t="s">
        <v>21</v>
      </c>
      <c r="H535" t="s">
        <v>22</v>
      </c>
      <c r="I535" t="s">
        <v>23</v>
      </c>
      <c r="J535">
        <v>0</v>
      </c>
      <c r="K535" t="s">
        <v>29</v>
      </c>
      <c r="L535">
        <v>18</v>
      </c>
      <c r="M535">
        <v>0</v>
      </c>
      <c r="N535" t="s">
        <v>283</v>
      </c>
      <c r="O535" t="s">
        <v>52</v>
      </c>
      <c r="P535" t="s">
        <v>533</v>
      </c>
      <c r="Q535" t="s">
        <v>432</v>
      </c>
      <c r="U535" t="str">
        <f t="shared" si="24"/>
        <v>Batting First Won</v>
      </c>
      <c r="X535" t="str">
        <f t="shared" si="25"/>
        <v>No</v>
      </c>
      <c r="AA535" t="str">
        <f t="shared" si="26"/>
        <v>2015</v>
      </c>
    </row>
    <row r="536" spans="1:27" x14ac:dyDescent="0.35">
      <c r="A536">
        <v>535</v>
      </c>
      <c r="B536" t="s">
        <v>569</v>
      </c>
      <c r="C536" t="s">
        <v>71</v>
      </c>
      <c r="D536" t="s">
        <v>584</v>
      </c>
      <c r="E536" t="s">
        <v>49</v>
      </c>
      <c r="F536" t="s">
        <v>37</v>
      </c>
      <c r="G536" t="s">
        <v>37</v>
      </c>
      <c r="H536" t="s">
        <v>22</v>
      </c>
      <c r="I536" t="s">
        <v>23</v>
      </c>
      <c r="J536">
        <v>0</v>
      </c>
      <c r="K536" t="s">
        <v>37</v>
      </c>
      <c r="L536">
        <v>0</v>
      </c>
      <c r="M536">
        <v>6</v>
      </c>
      <c r="N536" t="s">
        <v>470</v>
      </c>
      <c r="O536" t="s">
        <v>73</v>
      </c>
      <c r="P536" t="s">
        <v>570</v>
      </c>
      <c r="Q536" t="s">
        <v>85</v>
      </c>
      <c r="U536" t="str">
        <f t="shared" si="24"/>
        <v>Chasing Won</v>
      </c>
      <c r="X536" t="str">
        <f t="shared" si="25"/>
        <v>Yes</v>
      </c>
      <c r="AA536" t="str">
        <f t="shared" si="26"/>
        <v>2015</v>
      </c>
    </row>
    <row r="537" spans="1:27" x14ac:dyDescent="0.35">
      <c r="A537">
        <v>536</v>
      </c>
      <c r="B537" t="s">
        <v>569</v>
      </c>
      <c r="C537" t="s">
        <v>311</v>
      </c>
      <c r="D537" t="s">
        <v>585</v>
      </c>
      <c r="E537" t="s">
        <v>146</v>
      </c>
      <c r="F537" t="s">
        <v>43</v>
      </c>
      <c r="G537" t="s">
        <v>43</v>
      </c>
      <c r="H537" t="s">
        <v>22</v>
      </c>
      <c r="I537" t="s">
        <v>105</v>
      </c>
      <c r="J537">
        <v>0</v>
      </c>
      <c r="K537" t="s">
        <v>43</v>
      </c>
      <c r="L537">
        <v>0</v>
      </c>
      <c r="M537">
        <v>0</v>
      </c>
      <c r="N537" t="s">
        <v>189</v>
      </c>
      <c r="O537" t="s">
        <v>313</v>
      </c>
      <c r="P537" t="s">
        <v>88</v>
      </c>
      <c r="Q537" t="s">
        <v>34</v>
      </c>
      <c r="U537" t="str">
        <f t="shared" si="24"/>
        <v>Chasing Won</v>
      </c>
      <c r="X537" t="str">
        <f t="shared" si="25"/>
        <v>Yes</v>
      </c>
      <c r="AA537" t="str">
        <f t="shared" si="26"/>
        <v>2015</v>
      </c>
    </row>
    <row r="538" spans="1:27" x14ac:dyDescent="0.35">
      <c r="A538">
        <v>537</v>
      </c>
      <c r="B538" t="s">
        <v>569</v>
      </c>
      <c r="C538" t="s">
        <v>429</v>
      </c>
      <c r="D538" t="s">
        <v>586</v>
      </c>
      <c r="E538" t="s">
        <v>20</v>
      </c>
      <c r="F538" t="s">
        <v>37</v>
      </c>
      <c r="G538" t="s">
        <v>37</v>
      </c>
      <c r="H538" t="s">
        <v>22</v>
      </c>
      <c r="I538" t="s">
        <v>23</v>
      </c>
      <c r="J538">
        <v>1</v>
      </c>
      <c r="K538" t="s">
        <v>20</v>
      </c>
      <c r="L538">
        <v>16</v>
      </c>
      <c r="M538">
        <v>0</v>
      </c>
      <c r="N538" t="s">
        <v>109</v>
      </c>
      <c r="O538" t="s">
        <v>431</v>
      </c>
      <c r="P538" t="s">
        <v>533</v>
      </c>
      <c r="Q538" t="s">
        <v>432</v>
      </c>
      <c r="U538" t="str">
        <f t="shared" si="24"/>
        <v>Batting First Won</v>
      </c>
      <c r="X538" t="str">
        <f t="shared" si="25"/>
        <v>No</v>
      </c>
      <c r="AA538" t="str">
        <f t="shared" si="26"/>
        <v>2015</v>
      </c>
    </row>
    <row r="539" spans="1:27" x14ac:dyDescent="0.35">
      <c r="A539">
        <v>538</v>
      </c>
      <c r="B539" t="s">
        <v>569</v>
      </c>
      <c r="C539" t="s">
        <v>48</v>
      </c>
      <c r="D539" t="s">
        <v>586</v>
      </c>
      <c r="E539" t="s">
        <v>141</v>
      </c>
      <c r="F539" t="s">
        <v>21</v>
      </c>
      <c r="G539" t="s">
        <v>21</v>
      </c>
      <c r="H539" t="s">
        <v>22</v>
      </c>
      <c r="I539" t="s">
        <v>23</v>
      </c>
      <c r="J539">
        <v>0</v>
      </c>
      <c r="K539" t="s">
        <v>141</v>
      </c>
      <c r="L539">
        <v>27</v>
      </c>
      <c r="M539">
        <v>0</v>
      </c>
      <c r="N539" t="s">
        <v>90</v>
      </c>
      <c r="O539" t="s">
        <v>52</v>
      </c>
      <c r="P539" t="s">
        <v>427</v>
      </c>
      <c r="Q539" t="s">
        <v>47</v>
      </c>
      <c r="U539" t="str">
        <f t="shared" si="24"/>
        <v>Batting First Won</v>
      </c>
      <c r="X539" t="str">
        <f t="shared" si="25"/>
        <v>No</v>
      </c>
      <c r="AA539" t="str">
        <f t="shared" si="26"/>
        <v>2015</v>
      </c>
    </row>
    <row r="540" spans="1:27" x14ac:dyDescent="0.35">
      <c r="A540">
        <v>539</v>
      </c>
      <c r="B540" t="s">
        <v>569</v>
      </c>
      <c r="C540" t="s">
        <v>71</v>
      </c>
      <c r="D540" t="s">
        <v>587</v>
      </c>
      <c r="E540" t="s">
        <v>49</v>
      </c>
      <c r="F540" t="s">
        <v>29</v>
      </c>
      <c r="G540" t="s">
        <v>29</v>
      </c>
      <c r="H540" t="s">
        <v>22</v>
      </c>
      <c r="I540" t="s">
        <v>23</v>
      </c>
      <c r="J540">
        <v>0</v>
      </c>
      <c r="K540" t="s">
        <v>49</v>
      </c>
      <c r="L540">
        <v>37</v>
      </c>
      <c r="M540">
        <v>0</v>
      </c>
      <c r="N540" t="s">
        <v>120</v>
      </c>
      <c r="O540" t="s">
        <v>73</v>
      </c>
      <c r="P540" t="s">
        <v>570</v>
      </c>
      <c r="Q540" t="s">
        <v>41</v>
      </c>
      <c r="U540" t="str">
        <f t="shared" si="24"/>
        <v>Batting First Won</v>
      </c>
      <c r="X540" t="str">
        <f t="shared" si="25"/>
        <v>No</v>
      </c>
      <c r="AA540" t="str">
        <f t="shared" si="26"/>
        <v>2015</v>
      </c>
    </row>
    <row r="541" spans="1:27" x14ac:dyDescent="0.35">
      <c r="A541">
        <v>540</v>
      </c>
      <c r="B541" t="s">
        <v>569</v>
      </c>
      <c r="C541" t="s">
        <v>311</v>
      </c>
      <c r="D541" t="s">
        <v>588</v>
      </c>
      <c r="E541" t="s">
        <v>146</v>
      </c>
      <c r="F541" t="s">
        <v>21</v>
      </c>
      <c r="G541" t="s">
        <v>21</v>
      </c>
      <c r="H541" t="s">
        <v>22</v>
      </c>
      <c r="I541" t="s">
        <v>23</v>
      </c>
      <c r="J541">
        <v>0</v>
      </c>
      <c r="K541" t="s">
        <v>21</v>
      </c>
      <c r="L541">
        <v>0</v>
      </c>
      <c r="M541">
        <v>9</v>
      </c>
      <c r="N541" t="s">
        <v>589</v>
      </c>
      <c r="O541" t="s">
        <v>313</v>
      </c>
      <c r="P541" t="s">
        <v>88</v>
      </c>
      <c r="Q541" t="s">
        <v>34</v>
      </c>
      <c r="U541" t="str">
        <f t="shared" si="24"/>
        <v>Chasing Won</v>
      </c>
      <c r="X541" t="str">
        <f t="shared" si="25"/>
        <v>Yes</v>
      </c>
      <c r="AA541" t="str">
        <f t="shared" si="26"/>
        <v>2015</v>
      </c>
    </row>
    <row r="542" spans="1:27" x14ac:dyDescent="0.35">
      <c r="A542">
        <v>541</v>
      </c>
      <c r="B542" t="s">
        <v>569</v>
      </c>
      <c r="C542" t="s">
        <v>55</v>
      </c>
      <c r="D542" t="s">
        <v>590</v>
      </c>
      <c r="E542" t="s">
        <v>29</v>
      </c>
      <c r="F542" t="s">
        <v>20</v>
      </c>
      <c r="G542" t="s">
        <v>29</v>
      </c>
      <c r="H542" t="s">
        <v>50</v>
      </c>
      <c r="I542" t="s">
        <v>23</v>
      </c>
      <c r="J542">
        <v>0</v>
      </c>
      <c r="K542" t="s">
        <v>29</v>
      </c>
      <c r="L542">
        <v>20</v>
      </c>
      <c r="M542">
        <v>0</v>
      </c>
      <c r="N542" t="s">
        <v>337</v>
      </c>
      <c r="O542" t="s">
        <v>57</v>
      </c>
      <c r="P542" t="s">
        <v>256</v>
      </c>
      <c r="Q542" t="s">
        <v>85</v>
      </c>
      <c r="U542" t="str">
        <f t="shared" si="24"/>
        <v>Batting First Won</v>
      </c>
      <c r="X542" t="str">
        <f t="shared" si="25"/>
        <v>Yes</v>
      </c>
      <c r="AA542" t="str">
        <f t="shared" si="26"/>
        <v>2015</v>
      </c>
    </row>
    <row r="543" spans="1:27" x14ac:dyDescent="0.35">
      <c r="A543">
        <v>542</v>
      </c>
      <c r="B543" t="s">
        <v>569</v>
      </c>
      <c r="C543" t="s">
        <v>167</v>
      </c>
      <c r="D543" t="s">
        <v>590</v>
      </c>
      <c r="E543" t="s">
        <v>141</v>
      </c>
      <c r="F543" t="s">
        <v>43</v>
      </c>
      <c r="G543" t="s">
        <v>141</v>
      </c>
      <c r="H543" t="s">
        <v>50</v>
      </c>
      <c r="I543" t="s">
        <v>23</v>
      </c>
      <c r="J543">
        <v>0</v>
      </c>
      <c r="K543" t="s">
        <v>141</v>
      </c>
      <c r="L543">
        <v>97</v>
      </c>
      <c r="M543">
        <v>0</v>
      </c>
      <c r="N543" t="s">
        <v>137</v>
      </c>
      <c r="O543" t="s">
        <v>170</v>
      </c>
      <c r="P543" t="s">
        <v>427</v>
      </c>
      <c r="Q543" t="s">
        <v>47</v>
      </c>
      <c r="U543" t="str">
        <f t="shared" si="24"/>
        <v>Batting First Won</v>
      </c>
      <c r="X543" t="str">
        <f t="shared" si="25"/>
        <v>Yes</v>
      </c>
      <c r="AA543" t="str">
        <f t="shared" si="26"/>
        <v>2015</v>
      </c>
    </row>
    <row r="544" spans="1:27" x14ac:dyDescent="0.35">
      <c r="A544">
        <v>543</v>
      </c>
      <c r="B544" t="s">
        <v>569</v>
      </c>
      <c r="C544" t="s">
        <v>71</v>
      </c>
      <c r="D544" t="s">
        <v>591</v>
      </c>
      <c r="E544" t="s">
        <v>49</v>
      </c>
      <c r="F544" t="s">
        <v>21</v>
      </c>
      <c r="G544" t="s">
        <v>21</v>
      </c>
      <c r="H544" t="s">
        <v>22</v>
      </c>
      <c r="I544" t="s">
        <v>23</v>
      </c>
      <c r="J544">
        <v>0</v>
      </c>
      <c r="K544" t="s">
        <v>21</v>
      </c>
      <c r="L544">
        <v>0</v>
      </c>
      <c r="M544">
        <v>10</v>
      </c>
      <c r="N544" t="s">
        <v>592</v>
      </c>
      <c r="O544" t="s">
        <v>73</v>
      </c>
      <c r="P544" t="s">
        <v>88</v>
      </c>
      <c r="Q544" t="s">
        <v>34</v>
      </c>
      <c r="U544" t="str">
        <f t="shared" si="24"/>
        <v>Chasing Won</v>
      </c>
      <c r="X544" t="str">
        <f t="shared" si="25"/>
        <v>Yes</v>
      </c>
      <c r="AA544" t="str">
        <f t="shared" si="26"/>
        <v>2015</v>
      </c>
    </row>
    <row r="545" spans="1:27" x14ac:dyDescent="0.35">
      <c r="A545">
        <v>544</v>
      </c>
      <c r="B545" t="s">
        <v>569</v>
      </c>
      <c r="C545" t="s">
        <v>101</v>
      </c>
      <c r="D545" t="s">
        <v>593</v>
      </c>
      <c r="E545" t="s">
        <v>20</v>
      </c>
      <c r="F545" t="s">
        <v>43</v>
      </c>
      <c r="G545" t="s">
        <v>43</v>
      </c>
      <c r="H545" t="s">
        <v>22</v>
      </c>
      <c r="I545" t="s">
        <v>23</v>
      </c>
      <c r="J545">
        <v>0</v>
      </c>
      <c r="K545" t="s">
        <v>20</v>
      </c>
      <c r="L545">
        <v>20</v>
      </c>
      <c r="M545">
        <v>0</v>
      </c>
      <c r="N545" t="s">
        <v>594</v>
      </c>
      <c r="O545" t="s">
        <v>143</v>
      </c>
      <c r="P545" t="s">
        <v>256</v>
      </c>
      <c r="Q545" t="s">
        <v>85</v>
      </c>
      <c r="U545" t="str">
        <f t="shared" si="24"/>
        <v>Batting First Won</v>
      </c>
      <c r="X545" t="str">
        <f t="shared" si="25"/>
        <v>No</v>
      </c>
      <c r="AA545" t="str">
        <f t="shared" si="26"/>
        <v>2015</v>
      </c>
    </row>
    <row r="546" spans="1:27" x14ac:dyDescent="0.35">
      <c r="A546">
        <v>545</v>
      </c>
      <c r="B546" t="s">
        <v>569</v>
      </c>
      <c r="C546" t="s">
        <v>61</v>
      </c>
      <c r="D546" s="1">
        <v>42190</v>
      </c>
      <c r="E546" t="s">
        <v>37</v>
      </c>
      <c r="F546" t="s">
        <v>49</v>
      </c>
      <c r="G546" t="s">
        <v>37</v>
      </c>
      <c r="H546" t="s">
        <v>50</v>
      </c>
      <c r="I546" t="s">
        <v>23</v>
      </c>
      <c r="J546">
        <v>0</v>
      </c>
      <c r="K546" t="s">
        <v>37</v>
      </c>
      <c r="L546">
        <v>13</v>
      </c>
      <c r="M546">
        <v>0</v>
      </c>
      <c r="N546" t="s">
        <v>347</v>
      </c>
      <c r="O546" t="s">
        <v>64</v>
      </c>
      <c r="P546" t="s">
        <v>46</v>
      </c>
      <c r="Q546" t="s">
        <v>88</v>
      </c>
      <c r="U546" t="str">
        <f t="shared" si="24"/>
        <v>Batting First Won</v>
      </c>
      <c r="X546" t="str">
        <f t="shared" si="25"/>
        <v>Yes</v>
      </c>
      <c r="AA546" t="str">
        <f t="shared" si="26"/>
        <v>2015</v>
      </c>
    </row>
    <row r="547" spans="1:27" x14ac:dyDescent="0.35">
      <c r="A547">
        <v>546</v>
      </c>
      <c r="B547" t="s">
        <v>569</v>
      </c>
      <c r="C547" t="s">
        <v>48</v>
      </c>
      <c r="D547" t="s">
        <v>595</v>
      </c>
      <c r="E547" t="s">
        <v>21</v>
      </c>
      <c r="F547" t="s">
        <v>146</v>
      </c>
      <c r="G547" t="s">
        <v>146</v>
      </c>
      <c r="H547" t="s">
        <v>22</v>
      </c>
      <c r="I547" t="s">
        <v>418</v>
      </c>
      <c r="J547">
        <v>0</v>
      </c>
      <c r="L547">
        <v>0</v>
      </c>
      <c r="M547">
        <v>0</v>
      </c>
      <c r="O547" t="s">
        <v>52</v>
      </c>
      <c r="P547" t="s">
        <v>427</v>
      </c>
      <c r="Q547" t="s">
        <v>554</v>
      </c>
      <c r="U547" t="str">
        <f t="shared" si="24"/>
        <v>Chasing Won</v>
      </c>
      <c r="X547" t="str">
        <f t="shared" si="25"/>
        <v>No</v>
      </c>
      <c r="AA547" t="str">
        <f t="shared" si="26"/>
        <v>2015</v>
      </c>
    </row>
    <row r="548" spans="1:27" x14ac:dyDescent="0.35">
      <c r="A548">
        <v>547</v>
      </c>
      <c r="B548" t="s">
        <v>569</v>
      </c>
      <c r="C548" t="s">
        <v>167</v>
      </c>
      <c r="D548" t="s">
        <v>596</v>
      </c>
      <c r="E548" t="s">
        <v>141</v>
      </c>
      <c r="F548" t="s">
        <v>37</v>
      </c>
      <c r="G548" t="s">
        <v>37</v>
      </c>
      <c r="H548" t="s">
        <v>22</v>
      </c>
      <c r="I548" t="s">
        <v>23</v>
      </c>
      <c r="J548">
        <v>0</v>
      </c>
      <c r="K548" t="s">
        <v>141</v>
      </c>
      <c r="L548">
        <v>2</v>
      </c>
      <c r="M548">
        <v>0</v>
      </c>
      <c r="N548" t="s">
        <v>213</v>
      </c>
      <c r="O548" t="s">
        <v>170</v>
      </c>
      <c r="P548" t="s">
        <v>553</v>
      </c>
      <c r="Q548" t="s">
        <v>432</v>
      </c>
      <c r="U548" t="str">
        <f t="shared" si="24"/>
        <v>Batting First Won</v>
      </c>
      <c r="X548" t="str">
        <f t="shared" si="25"/>
        <v>No</v>
      </c>
      <c r="AA548" t="str">
        <f t="shared" si="26"/>
        <v>2015</v>
      </c>
    </row>
    <row r="549" spans="1:27" x14ac:dyDescent="0.35">
      <c r="A549">
        <v>548</v>
      </c>
      <c r="B549" t="s">
        <v>569</v>
      </c>
      <c r="C549" t="s">
        <v>71</v>
      </c>
      <c r="D549" s="1">
        <v>42009</v>
      </c>
      <c r="E549" t="s">
        <v>43</v>
      </c>
      <c r="F549" t="s">
        <v>49</v>
      </c>
      <c r="G549" t="s">
        <v>49</v>
      </c>
      <c r="H549" t="s">
        <v>22</v>
      </c>
      <c r="I549" t="s">
        <v>23</v>
      </c>
      <c r="J549">
        <v>0</v>
      </c>
      <c r="K549" t="s">
        <v>49</v>
      </c>
      <c r="L549">
        <v>0</v>
      </c>
      <c r="M549">
        <v>9</v>
      </c>
      <c r="N549" t="s">
        <v>78</v>
      </c>
      <c r="O549" t="s">
        <v>73</v>
      </c>
      <c r="P549" t="s">
        <v>533</v>
      </c>
      <c r="Q549" t="s">
        <v>34</v>
      </c>
      <c r="U549" t="str">
        <f t="shared" si="24"/>
        <v>Chasing Won</v>
      </c>
      <c r="X549" t="str">
        <f t="shared" si="25"/>
        <v>Yes</v>
      </c>
      <c r="AA549" t="str">
        <f t="shared" si="26"/>
        <v>2015</v>
      </c>
    </row>
    <row r="550" spans="1:27" x14ac:dyDescent="0.35">
      <c r="A550">
        <v>549</v>
      </c>
      <c r="B550" t="s">
        <v>569</v>
      </c>
      <c r="C550" t="s">
        <v>55</v>
      </c>
      <c r="D550" s="1">
        <v>42009</v>
      </c>
      <c r="E550" t="s">
        <v>29</v>
      </c>
      <c r="F550" t="s">
        <v>146</v>
      </c>
      <c r="G550" t="s">
        <v>146</v>
      </c>
      <c r="H550" t="s">
        <v>22</v>
      </c>
      <c r="I550" t="s">
        <v>23</v>
      </c>
      <c r="J550">
        <v>0</v>
      </c>
      <c r="K550" t="s">
        <v>29</v>
      </c>
      <c r="L550">
        <v>8</v>
      </c>
      <c r="M550">
        <v>0</v>
      </c>
      <c r="N550" t="s">
        <v>126</v>
      </c>
      <c r="O550" t="s">
        <v>57</v>
      </c>
      <c r="P550" t="s">
        <v>256</v>
      </c>
      <c r="Q550" t="s">
        <v>41</v>
      </c>
      <c r="U550" t="str">
        <f t="shared" si="24"/>
        <v>Batting First Won</v>
      </c>
      <c r="X550" t="str">
        <f t="shared" si="25"/>
        <v>No</v>
      </c>
      <c r="AA550" t="str">
        <f t="shared" si="26"/>
        <v>2015</v>
      </c>
    </row>
    <row r="551" spans="1:27" x14ac:dyDescent="0.35">
      <c r="A551">
        <v>550</v>
      </c>
      <c r="B551" t="s">
        <v>569</v>
      </c>
      <c r="C551" t="s">
        <v>48</v>
      </c>
      <c r="D551" s="1">
        <v>42040</v>
      </c>
      <c r="E551" t="s">
        <v>37</v>
      </c>
      <c r="F551" t="s">
        <v>21</v>
      </c>
      <c r="G551" t="s">
        <v>21</v>
      </c>
      <c r="H551" t="s">
        <v>22</v>
      </c>
      <c r="I551" t="s">
        <v>23</v>
      </c>
      <c r="J551">
        <v>0</v>
      </c>
      <c r="K551" t="s">
        <v>21</v>
      </c>
      <c r="L551">
        <v>0</v>
      </c>
      <c r="M551">
        <v>7</v>
      </c>
      <c r="N551" t="s">
        <v>460</v>
      </c>
      <c r="O551" t="s">
        <v>52</v>
      </c>
      <c r="P551" t="s">
        <v>427</v>
      </c>
      <c r="Q551" t="s">
        <v>554</v>
      </c>
      <c r="U551" t="str">
        <f t="shared" si="24"/>
        <v>Chasing Won</v>
      </c>
      <c r="X551" t="str">
        <f t="shared" si="25"/>
        <v>Yes</v>
      </c>
      <c r="AA551" t="str">
        <f t="shared" si="26"/>
        <v>2015</v>
      </c>
    </row>
    <row r="552" spans="1:27" x14ac:dyDescent="0.35">
      <c r="A552">
        <v>551</v>
      </c>
      <c r="B552" t="s">
        <v>569</v>
      </c>
      <c r="C552" t="s">
        <v>19</v>
      </c>
      <c r="D552" s="1">
        <v>42040</v>
      </c>
      <c r="E552" t="s">
        <v>20</v>
      </c>
      <c r="F552" t="s">
        <v>141</v>
      </c>
      <c r="G552" t="s">
        <v>141</v>
      </c>
      <c r="H552" t="s">
        <v>22</v>
      </c>
      <c r="I552" t="s">
        <v>23</v>
      </c>
      <c r="J552">
        <v>0</v>
      </c>
      <c r="K552" t="s">
        <v>20</v>
      </c>
      <c r="L552">
        <v>22</v>
      </c>
      <c r="M552">
        <v>0</v>
      </c>
      <c r="N552" t="s">
        <v>109</v>
      </c>
      <c r="O552" t="s">
        <v>25</v>
      </c>
      <c r="P552" t="s">
        <v>46</v>
      </c>
      <c r="Q552" t="s">
        <v>573</v>
      </c>
      <c r="U552" t="str">
        <f t="shared" si="24"/>
        <v>Batting First Won</v>
      </c>
      <c r="X552" t="str">
        <f t="shared" si="25"/>
        <v>No</v>
      </c>
      <c r="AA552" t="str">
        <f t="shared" si="26"/>
        <v>2015</v>
      </c>
    </row>
    <row r="553" spans="1:27" x14ac:dyDescent="0.35">
      <c r="A553">
        <v>552</v>
      </c>
      <c r="B553" t="s">
        <v>569</v>
      </c>
      <c r="C553" t="s">
        <v>101</v>
      </c>
      <c r="D553" s="1">
        <v>42068</v>
      </c>
      <c r="E553" t="s">
        <v>29</v>
      </c>
      <c r="F553" t="s">
        <v>43</v>
      </c>
      <c r="G553" t="s">
        <v>29</v>
      </c>
      <c r="H553" t="s">
        <v>50</v>
      </c>
      <c r="I553" t="s">
        <v>23</v>
      </c>
      <c r="J553">
        <v>0</v>
      </c>
      <c r="K553" t="s">
        <v>29</v>
      </c>
      <c r="L553">
        <v>23</v>
      </c>
      <c r="M553">
        <v>0</v>
      </c>
      <c r="N553" t="s">
        <v>115</v>
      </c>
      <c r="O553" t="s">
        <v>143</v>
      </c>
      <c r="P553" t="s">
        <v>533</v>
      </c>
      <c r="Q553" t="s">
        <v>432</v>
      </c>
      <c r="U553" t="str">
        <f t="shared" si="24"/>
        <v>Batting First Won</v>
      </c>
      <c r="X553" t="str">
        <f t="shared" si="25"/>
        <v>Yes</v>
      </c>
      <c r="AA553" t="str">
        <f t="shared" si="26"/>
        <v>2015</v>
      </c>
    </row>
    <row r="554" spans="1:27" x14ac:dyDescent="0.35">
      <c r="A554">
        <v>553</v>
      </c>
      <c r="B554" t="s">
        <v>569</v>
      </c>
      <c r="C554" t="s">
        <v>55</v>
      </c>
      <c r="D554" s="1">
        <v>42068</v>
      </c>
      <c r="E554" t="s">
        <v>146</v>
      </c>
      <c r="F554" t="s">
        <v>49</v>
      </c>
      <c r="G554" t="s">
        <v>49</v>
      </c>
      <c r="H554" t="s">
        <v>22</v>
      </c>
      <c r="I554" t="s">
        <v>23</v>
      </c>
      <c r="J554">
        <v>0</v>
      </c>
      <c r="K554" t="s">
        <v>146</v>
      </c>
      <c r="L554">
        <v>14</v>
      </c>
      <c r="M554">
        <v>0</v>
      </c>
      <c r="N554" t="s">
        <v>428</v>
      </c>
      <c r="O554" t="s">
        <v>307</v>
      </c>
      <c r="P554" t="s">
        <v>256</v>
      </c>
      <c r="Q554" t="s">
        <v>85</v>
      </c>
      <c r="U554" t="str">
        <f t="shared" si="24"/>
        <v>Batting First Won</v>
      </c>
      <c r="X554" t="str">
        <f t="shared" si="25"/>
        <v>No</v>
      </c>
      <c r="AA554" t="str">
        <f t="shared" si="26"/>
        <v>2015</v>
      </c>
    </row>
    <row r="555" spans="1:27" x14ac:dyDescent="0.35">
      <c r="A555">
        <v>554</v>
      </c>
      <c r="B555" t="s">
        <v>569</v>
      </c>
      <c r="C555" t="s">
        <v>167</v>
      </c>
      <c r="D555" s="1">
        <v>42099</v>
      </c>
      <c r="E555" t="s">
        <v>141</v>
      </c>
      <c r="F555" t="s">
        <v>21</v>
      </c>
      <c r="G555" t="s">
        <v>141</v>
      </c>
      <c r="H555" t="s">
        <v>50</v>
      </c>
      <c r="I555" t="s">
        <v>23</v>
      </c>
      <c r="J555">
        <v>0</v>
      </c>
      <c r="K555" t="s">
        <v>141</v>
      </c>
      <c r="L555">
        <v>24</v>
      </c>
      <c r="M555">
        <v>0</v>
      </c>
      <c r="N555" t="s">
        <v>90</v>
      </c>
      <c r="O555" t="s">
        <v>170</v>
      </c>
      <c r="P555" t="s">
        <v>47</v>
      </c>
      <c r="Q555" t="s">
        <v>485</v>
      </c>
      <c r="U555" t="str">
        <f t="shared" si="24"/>
        <v>Batting First Won</v>
      </c>
      <c r="X555" t="str">
        <f t="shared" si="25"/>
        <v>Yes</v>
      </c>
      <c r="AA555" t="str">
        <f t="shared" si="26"/>
        <v>2015</v>
      </c>
    </row>
    <row r="556" spans="1:27" x14ac:dyDescent="0.35">
      <c r="A556">
        <v>555</v>
      </c>
      <c r="B556" t="s">
        <v>569</v>
      </c>
      <c r="C556" t="s">
        <v>61</v>
      </c>
      <c r="D556" s="1">
        <v>42099</v>
      </c>
      <c r="E556" t="s">
        <v>37</v>
      </c>
      <c r="F556" t="s">
        <v>20</v>
      </c>
      <c r="G556" t="s">
        <v>20</v>
      </c>
      <c r="H556" t="s">
        <v>22</v>
      </c>
      <c r="I556" t="s">
        <v>23</v>
      </c>
      <c r="J556">
        <v>0</v>
      </c>
      <c r="K556" t="s">
        <v>37</v>
      </c>
      <c r="L556">
        <v>35</v>
      </c>
      <c r="M556">
        <v>0</v>
      </c>
      <c r="N556" t="s">
        <v>470</v>
      </c>
      <c r="O556" t="s">
        <v>64</v>
      </c>
      <c r="P556" t="s">
        <v>46</v>
      </c>
      <c r="Q556" t="s">
        <v>88</v>
      </c>
      <c r="U556" t="str">
        <f t="shared" si="24"/>
        <v>Batting First Won</v>
      </c>
      <c r="X556" t="str">
        <f t="shared" si="25"/>
        <v>No</v>
      </c>
      <c r="AA556" t="str">
        <f t="shared" si="26"/>
        <v>2015</v>
      </c>
    </row>
    <row r="557" spans="1:27" x14ac:dyDescent="0.35">
      <c r="A557">
        <v>556</v>
      </c>
      <c r="B557" t="s">
        <v>569</v>
      </c>
      <c r="C557" t="s">
        <v>55</v>
      </c>
      <c r="D557" s="1">
        <v>42129</v>
      </c>
      <c r="E557" t="s">
        <v>49</v>
      </c>
      <c r="F557" t="s">
        <v>29</v>
      </c>
      <c r="G557" t="s">
        <v>49</v>
      </c>
      <c r="H557" t="s">
        <v>50</v>
      </c>
      <c r="I557" t="s">
        <v>23</v>
      </c>
      <c r="J557">
        <v>0</v>
      </c>
      <c r="K557" t="s">
        <v>29</v>
      </c>
      <c r="L557">
        <v>0</v>
      </c>
      <c r="M557">
        <v>5</v>
      </c>
      <c r="N557" t="s">
        <v>283</v>
      </c>
      <c r="O557" t="s">
        <v>57</v>
      </c>
      <c r="P557" t="s">
        <v>256</v>
      </c>
      <c r="Q557" t="s">
        <v>85</v>
      </c>
      <c r="U557" t="str">
        <f t="shared" si="24"/>
        <v>Chasing Won</v>
      </c>
      <c r="X557" t="str">
        <f t="shared" si="25"/>
        <v>No</v>
      </c>
      <c r="AA557" t="str">
        <f t="shared" si="26"/>
        <v>2015</v>
      </c>
    </row>
    <row r="558" spans="1:27" x14ac:dyDescent="0.35">
      <c r="A558">
        <v>557</v>
      </c>
      <c r="B558" t="s">
        <v>569</v>
      </c>
      <c r="C558" t="s">
        <v>48</v>
      </c>
      <c r="D558" s="1">
        <v>42160</v>
      </c>
      <c r="E558" t="s">
        <v>21</v>
      </c>
      <c r="F558" t="s">
        <v>43</v>
      </c>
      <c r="G558" t="s">
        <v>43</v>
      </c>
      <c r="H558" t="s">
        <v>22</v>
      </c>
      <c r="I558" t="s">
        <v>23</v>
      </c>
      <c r="J558">
        <v>0</v>
      </c>
      <c r="K558" t="s">
        <v>21</v>
      </c>
      <c r="L558">
        <v>138</v>
      </c>
      <c r="M558">
        <v>0</v>
      </c>
      <c r="N558" t="s">
        <v>81</v>
      </c>
      <c r="O558" t="s">
        <v>52</v>
      </c>
      <c r="P558" t="s">
        <v>533</v>
      </c>
      <c r="Q558" t="s">
        <v>432</v>
      </c>
      <c r="U558" t="str">
        <f t="shared" si="24"/>
        <v>Batting First Won</v>
      </c>
      <c r="X558" t="str">
        <f t="shared" si="25"/>
        <v>No</v>
      </c>
      <c r="AA558" t="str">
        <f t="shared" si="26"/>
        <v>2015</v>
      </c>
    </row>
    <row r="559" spans="1:27" x14ac:dyDescent="0.35">
      <c r="A559">
        <v>558</v>
      </c>
      <c r="B559" t="s">
        <v>569</v>
      </c>
      <c r="C559" t="s">
        <v>55</v>
      </c>
      <c r="D559" s="1">
        <v>42190</v>
      </c>
      <c r="E559" t="s">
        <v>20</v>
      </c>
      <c r="F559" t="s">
        <v>146</v>
      </c>
      <c r="G559" t="s">
        <v>146</v>
      </c>
      <c r="H559" t="s">
        <v>22</v>
      </c>
      <c r="I559" t="s">
        <v>23</v>
      </c>
      <c r="J559">
        <v>0</v>
      </c>
      <c r="K559" t="s">
        <v>20</v>
      </c>
      <c r="L559">
        <v>7</v>
      </c>
      <c r="M559">
        <v>0</v>
      </c>
      <c r="N559" t="s">
        <v>597</v>
      </c>
      <c r="O559" t="s">
        <v>307</v>
      </c>
      <c r="P559" t="s">
        <v>427</v>
      </c>
      <c r="Q559" t="s">
        <v>47</v>
      </c>
      <c r="U559" t="str">
        <f t="shared" si="24"/>
        <v>Batting First Won</v>
      </c>
      <c r="X559" t="str">
        <f t="shared" si="25"/>
        <v>No</v>
      </c>
      <c r="AA559" t="str">
        <f t="shared" si="26"/>
        <v>2015</v>
      </c>
    </row>
    <row r="560" spans="1:27" x14ac:dyDescent="0.35">
      <c r="A560">
        <v>559</v>
      </c>
      <c r="B560" t="s">
        <v>569</v>
      </c>
      <c r="C560" t="s">
        <v>167</v>
      </c>
      <c r="D560" s="1">
        <v>42221</v>
      </c>
      <c r="E560" t="s">
        <v>141</v>
      </c>
      <c r="F560" t="s">
        <v>29</v>
      </c>
      <c r="G560" t="s">
        <v>141</v>
      </c>
      <c r="H560" t="s">
        <v>50</v>
      </c>
      <c r="I560" t="s">
        <v>23</v>
      </c>
      <c r="J560">
        <v>0</v>
      </c>
      <c r="K560" t="s">
        <v>29</v>
      </c>
      <c r="L560">
        <v>0</v>
      </c>
      <c r="M560">
        <v>6</v>
      </c>
      <c r="N560" t="s">
        <v>598</v>
      </c>
      <c r="O560" t="s">
        <v>170</v>
      </c>
      <c r="P560" t="s">
        <v>85</v>
      </c>
      <c r="Q560" t="s">
        <v>41</v>
      </c>
      <c r="U560" t="str">
        <f t="shared" si="24"/>
        <v>Chasing Won</v>
      </c>
      <c r="X560" t="str">
        <f t="shared" si="25"/>
        <v>No</v>
      </c>
      <c r="AA560" t="str">
        <f t="shared" si="26"/>
        <v>2015</v>
      </c>
    </row>
    <row r="561" spans="1:27" x14ac:dyDescent="0.35">
      <c r="A561">
        <v>560</v>
      </c>
      <c r="B561" t="s">
        <v>569</v>
      </c>
      <c r="C561" t="s">
        <v>61</v>
      </c>
      <c r="D561" s="1">
        <v>42252</v>
      </c>
      <c r="E561" t="s">
        <v>43</v>
      </c>
      <c r="F561" t="s">
        <v>37</v>
      </c>
      <c r="G561" t="s">
        <v>43</v>
      </c>
      <c r="H561" t="s">
        <v>50</v>
      </c>
      <c r="I561" t="s">
        <v>23</v>
      </c>
      <c r="J561">
        <v>0</v>
      </c>
      <c r="K561" t="s">
        <v>37</v>
      </c>
      <c r="L561">
        <v>0</v>
      </c>
      <c r="M561">
        <v>1</v>
      </c>
      <c r="N561" t="s">
        <v>577</v>
      </c>
      <c r="O561" t="s">
        <v>64</v>
      </c>
      <c r="P561" t="s">
        <v>46</v>
      </c>
      <c r="Q561" t="s">
        <v>256</v>
      </c>
      <c r="U561" t="str">
        <f t="shared" si="24"/>
        <v>Chasing Won</v>
      </c>
      <c r="X561" t="str">
        <f t="shared" si="25"/>
        <v>No</v>
      </c>
      <c r="AA561" t="str">
        <f t="shared" si="26"/>
        <v>2015</v>
      </c>
    </row>
    <row r="562" spans="1:27" x14ac:dyDescent="0.35">
      <c r="A562">
        <v>561</v>
      </c>
      <c r="B562" t="s">
        <v>569</v>
      </c>
      <c r="C562" t="s">
        <v>507</v>
      </c>
      <c r="D562" s="1">
        <v>42252</v>
      </c>
      <c r="E562" t="s">
        <v>20</v>
      </c>
      <c r="F562" t="s">
        <v>49</v>
      </c>
      <c r="G562" t="s">
        <v>20</v>
      </c>
      <c r="H562" t="s">
        <v>50</v>
      </c>
      <c r="I562" t="s">
        <v>23</v>
      </c>
      <c r="J562">
        <v>0</v>
      </c>
      <c r="K562" t="s">
        <v>20</v>
      </c>
      <c r="L562">
        <v>6</v>
      </c>
      <c r="M562">
        <v>0</v>
      </c>
      <c r="N562" t="s">
        <v>599</v>
      </c>
      <c r="O562" t="s">
        <v>508</v>
      </c>
      <c r="P562" t="s">
        <v>432</v>
      </c>
      <c r="Q562" t="s">
        <v>34</v>
      </c>
      <c r="U562" t="str">
        <f t="shared" si="24"/>
        <v>Batting First Won</v>
      </c>
      <c r="X562" t="str">
        <f t="shared" si="25"/>
        <v>Yes</v>
      </c>
      <c r="AA562" t="str">
        <f t="shared" si="26"/>
        <v>2015</v>
      </c>
    </row>
    <row r="563" spans="1:27" x14ac:dyDescent="0.35">
      <c r="A563">
        <v>562</v>
      </c>
      <c r="B563" t="s">
        <v>569</v>
      </c>
      <c r="C563" t="s">
        <v>55</v>
      </c>
      <c r="D563" s="1">
        <v>42282</v>
      </c>
      <c r="E563" t="s">
        <v>21</v>
      </c>
      <c r="F563" t="s">
        <v>29</v>
      </c>
      <c r="G563" t="s">
        <v>21</v>
      </c>
      <c r="H563" t="s">
        <v>50</v>
      </c>
      <c r="I563" t="s">
        <v>23</v>
      </c>
      <c r="J563">
        <v>0</v>
      </c>
      <c r="K563" t="s">
        <v>21</v>
      </c>
      <c r="L563">
        <v>39</v>
      </c>
      <c r="M563">
        <v>0</v>
      </c>
      <c r="N563" t="s">
        <v>250</v>
      </c>
      <c r="O563" t="s">
        <v>57</v>
      </c>
      <c r="P563" t="s">
        <v>427</v>
      </c>
      <c r="Q563" t="s">
        <v>47</v>
      </c>
      <c r="U563" t="str">
        <f t="shared" si="24"/>
        <v>Batting First Won</v>
      </c>
      <c r="X563" t="str">
        <f t="shared" si="25"/>
        <v>Yes</v>
      </c>
      <c r="AA563" t="str">
        <f t="shared" si="26"/>
        <v>2015</v>
      </c>
    </row>
    <row r="564" spans="1:27" x14ac:dyDescent="0.35">
      <c r="A564">
        <v>563</v>
      </c>
      <c r="B564" t="s">
        <v>569</v>
      </c>
      <c r="C564" t="s">
        <v>167</v>
      </c>
      <c r="D564" s="1">
        <v>42282</v>
      </c>
      <c r="E564" t="s">
        <v>141</v>
      </c>
      <c r="F564" t="s">
        <v>146</v>
      </c>
      <c r="G564" t="s">
        <v>141</v>
      </c>
      <c r="H564" t="s">
        <v>50</v>
      </c>
      <c r="I564" t="s">
        <v>23</v>
      </c>
      <c r="J564">
        <v>0</v>
      </c>
      <c r="K564" t="s">
        <v>141</v>
      </c>
      <c r="L564">
        <v>12</v>
      </c>
      <c r="M564">
        <v>0</v>
      </c>
      <c r="N564" t="s">
        <v>430</v>
      </c>
      <c r="O564" t="s">
        <v>170</v>
      </c>
      <c r="P564" t="s">
        <v>88</v>
      </c>
      <c r="Q564" t="s">
        <v>41</v>
      </c>
      <c r="U564" t="str">
        <f t="shared" si="24"/>
        <v>Batting First Won</v>
      </c>
      <c r="X564" t="str">
        <f t="shared" si="25"/>
        <v>Yes</v>
      </c>
      <c r="AA564" t="str">
        <f t="shared" si="26"/>
        <v>2015</v>
      </c>
    </row>
    <row r="565" spans="1:27" x14ac:dyDescent="0.35">
      <c r="A565">
        <v>564</v>
      </c>
      <c r="B565" t="s">
        <v>569</v>
      </c>
      <c r="C565" t="s">
        <v>19</v>
      </c>
      <c r="D565" s="1">
        <v>42313</v>
      </c>
      <c r="E565" t="s">
        <v>20</v>
      </c>
      <c r="F565" t="s">
        <v>43</v>
      </c>
      <c r="G565" t="s">
        <v>20</v>
      </c>
      <c r="H565" t="s">
        <v>50</v>
      </c>
      <c r="I565" t="s">
        <v>23</v>
      </c>
      <c r="J565">
        <v>0</v>
      </c>
      <c r="K565" t="s">
        <v>20</v>
      </c>
      <c r="L565">
        <v>5</v>
      </c>
      <c r="M565">
        <v>0</v>
      </c>
      <c r="N565" t="s">
        <v>109</v>
      </c>
      <c r="O565" t="s">
        <v>25</v>
      </c>
      <c r="P565" t="s">
        <v>46</v>
      </c>
      <c r="Q565" t="s">
        <v>256</v>
      </c>
      <c r="U565" t="str">
        <f t="shared" si="24"/>
        <v>Batting First Won</v>
      </c>
      <c r="X565" t="str">
        <f t="shared" si="25"/>
        <v>Yes</v>
      </c>
      <c r="AA565" t="str">
        <f t="shared" si="26"/>
        <v>2015</v>
      </c>
    </row>
    <row r="566" spans="1:27" x14ac:dyDescent="0.35">
      <c r="A566">
        <v>565</v>
      </c>
      <c r="B566" t="s">
        <v>569</v>
      </c>
      <c r="C566" t="s">
        <v>507</v>
      </c>
      <c r="D566" s="1">
        <v>42343</v>
      </c>
      <c r="E566" t="s">
        <v>141</v>
      </c>
      <c r="F566" t="s">
        <v>49</v>
      </c>
      <c r="G566" t="s">
        <v>141</v>
      </c>
      <c r="H566" t="s">
        <v>50</v>
      </c>
      <c r="I566" t="s">
        <v>23</v>
      </c>
      <c r="J566">
        <v>0</v>
      </c>
      <c r="K566" t="s">
        <v>49</v>
      </c>
      <c r="L566">
        <v>0</v>
      </c>
      <c r="M566">
        <v>6</v>
      </c>
      <c r="N566" t="s">
        <v>600</v>
      </c>
      <c r="O566" t="s">
        <v>508</v>
      </c>
      <c r="P566" t="s">
        <v>533</v>
      </c>
      <c r="Q566" t="s">
        <v>432</v>
      </c>
      <c r="U566" t="str">
        <f t="shared" si="24"/>
        <v>Chasing Won</v>
      </c>
      <c r="X566" t="str">
        <f t="shared" si="25"/>
        <v>No</v>
      </c>
      <c r="AA566" t="str">
        <f t="shared" si="26"/>
        <v>2015</v>
      </c>
    </row>
    <row r="567" spans="1:27" x14ac:dyDescent="0.35">
      <c r="A567">
        <v>566</v>
      </c>
      <c r="B567" t="s">
        <v>569</v>
      </c>
      <c r="C567" t="s">
        <v>101</v>
      </c>
      <c r="D567" t="s">
        <v>601</v>
      </c>
      <c r="E567" t="s">
        <v>43</v>
      </c>
      <c r="F567" t="s">
        <v>21</v>
      </c>
      <c r="G567" t="s">
        <v>21</v>
      </c>
      <c r="H567" t="s">
        <v>22</v>
      </c>
      <c r="I567" t="s">
        <v>23</v>
      </c>
      <c r="J567">
        <v>0</v>
      </c>
      <c r="K567" t="s">
        <v>43</v>
      </c>
      <c r="L567">
        <v>22</v>
      </c>
      <c r="M567">
        <v>0</v>
      </c>
      <c r="N567" t="s">
        <v>58</v>
      </c>
      <c r="O567" t="s">
        <v>143</v>
      </c>
      <c r="P567" t="s">
        <v>427</v>
      </c>
      <c r="Q567" t="s">
        <v>47</v>
      </c>
      <c r="U567" t="str">
        <f t="shared" si="24"/>
        <v>Batting First Won</v>
      </c>
      <c r="X567" t="str">
        <f t="shared" si="25"/>
        <v>No</v>
      </c>
      <c r="AA567" t="str">
        <f t="shared" si="26"/>
        <v>2015</v>
      </c>
    </row>
    <row r="568" spans="1:27" x14ac:dyDescent="0.35">
      <c r="A568">
        <v>567</v>
      </c>
      <c r="B568" t="s">
        <v>569</v>
      </c>
      <c r="C568" t="s">
        <v>55</v>
      </c>
      <c r="D568" t="s">
        <v>602</v>
      </c>
      <c r="E568" t="s">
        <v>29</v>
      </c>
      <c r="F568" t="s">
        <v>37</v>
      </c>
      <c r="G568" t="s">
        <v>37</v>
      </c>
      <c r="H568" t="s">
        <v>22</v>
      </c>
      <c r="I568" t="s">
        <v>23</v>
      </c>
      <c r="J568">
        <v>0</v>
      </c>
      <c r="K568" t="s">
        <v>29</v>
      </c>
      <c r="L568">
        <v>5</v>
      </c>
      <c r="M568">
        <v>0</v>
      </c>
      <c r="N568" t="s">
        <v>598</v>
      </c>
      <c r="O568" t="s">
        <v>57</v>
      </c>
      <c r="P568" t="s">
        <v>533</v>
      </c>
      <c r="Q568" t="s">
        <v>432</v>
      </c>
      <c r="U568" t="str">
        <f t="shared" si="24"/>
        <v>Batting First Won</v>
      </c>
      <c r="X568" t="str">
        <f t="shared" si="25"/>
        <v>No</v>
      </c>
      <c r="AA568" t="str">
        <f t="shared" si="26"/>
        <v>2015</v>
      </c>
    </row>
    <row r="569" spans="1:27" x14ac:dyDescent="0.35">
      <c r="A569">
        <v>568</v>
      </c>
      <c r="B569" t="s">
        <v>569</v>
      </c>
      <c r="C569" t="s">
        <v>19</v>
      </c>
      <c r="D569" t="s">
        <v>603</v>
      </c>
      <c r="E569" t="s">
        <v>20</v>
      </c>
      <c r="F569" t="s">
        <v>21</v>
      </c>
      <c r="G569" t="s">
        <v>20</v>
      </c>
      <c r="H569" t="s">
        <v>50</v>
      </c>
      <c r="I569" t="s">
        <v>23</v>
      </c>
      <c r="J569">
        <v>1</v>
      </c>
      <c r="K569" t="s">
        <v>21</v>
      </c>
      <c r="L569">
        <v>0</v>
      </c>
      <c r="M569">
        <v>6</v>
      </c>
      <c r="N569" t="s">
        <v>396</v>
      </c>
      <c r="O569" t="s">
        <v>25</v>
      </c>
      <c r="P569" t="s">
        <v>46</v>
      </c>
      <c r="Q569" t="s">
        <v>256</v>
      </c>
      <c r="U569" t="str">
        <f t="shared" si="24"/>
        <v>Chasing Won</v>
      </c>
      <c r="X569" t="str">
        <f t="shared" si="25"/>
        <v>No</v>
      </c>
      <c r="AA569" t="str">
        <f t="shared" si="26"/>
        <v>2015</v>
      </c>
    </row>
    <row r="570" spans="1:27" x14ac:dyDescent="0.35">
      <c r="A570">
        <v>569</v>
      </c>
      <c r="B570" t="s">
        <v>569</v>
      </c>
      <c r="C570" t="s">
        <v>101</v>
      </c>
      <c r="D570" t="s">
        <v>604</v>
      </c>
      <c r="E570" t="s">
        <v>43</v>
      </c>
      <c r="F570" t="s">
        <v>141</v>
      </c>
      <c r="G570" t="s">
        <v>43</v>
      </c>
      <c r="H570" t="s">
        <v>50</v>
      </c>
      <c r="I570" t="s">
        <v>23</v>
      </c>
      <c r="J570">
        <v>0</v>
      </c>
      <c r="K570" t="s">
        <v>141</v>
      </c>
      <c r="L570">
        <v>0</v>
      </c>
      <c r="M570">
        <v>7</v>
      </c>
      <c r="N570" t="s">
        <v>463</v>
      </c>
      <c r="O570" t="s">
        <v>143</v>
      </c>
      <c r="P570" t="s">
        <v>41</v>
      </c>
      <c r="Q570" t="s">
        <v>47</v>
      </c>
      <c r="U570" t="str">
        <f t="shared" si="24"/>
        <v>Chasing Won</v>
      </c>
      <c r="X570" t="str">
        <f t="shared" si="25"/>
        <v>No</v>
      </c>
      <c r="AA570" t="str">
        <f t="shared" si="26"/>
        <v>2015</v>
      </c>
    </row>
    <row r="571" spans="1:27" x14ac:dyDescent="0.35">
      <c r="A571">
        <v>570</v>
      </c>
      <c r="B571" t="s">
        <v>569</v>
      </c>
      <c r="C571" t="s">
        <v>55</v>
      </c>
      <c r="D571" t="s">
        <v>604</v>
      </c>
      <c r="E571" t="s">
        <v>146</v>
      </c>
      <c r="F571" t="s">
        <v>37</v>
      </c>
      <c r="G571" t="s">
        <v>146</v>
      </c>
      <c r="H571" t="s">
        <v>50</v>
      </c>
      <c r="I571" t="s">
        <v>23</v>
      </c>
      <c r="J571">
        <v>0</v>
      </c>
      <c r="K571" t="s">
        <v>146</v>
      </c>
      <c r="L571">
        <v>9</v>
      </c>
      <c r="M571">
        <v>0</v>
      </c>
      <c r="N571" t="s">
        <v>160</v>
      </c>
      <c r="O571" t="s">
        <v>307</v>
      </c>
      <c r="P571" t="s">
        <v>553</v>
      </c>
      <c r="Q571" t="s">
        <v>533</v>
      </c>
      <c r="U571" t="str">
        <f t="shared" si="24"/>
        <v>Batting First Won</v>
      </c>
      <c r="X571" t="str">
        <f t="shared" si="25"/>
        <v>Yes</v>
      </c>
      <c r="AA571" t="str">
        <f t="shared" si="26"/>
        <v>2015</v>
      </c>
    </row>
    <row r="572" spans="1:27" x14ac:dyDescent="0.35">
      <c r="A572">
        <v>571</v>
      </c>
      <c r="B572" t="s">
        <v>569</v>
      </c>
      <c r="C572" t="s">
        <v>48</v>
      </c>
      <c r="D572" t="s">
        <v>605</v>
      </c>
      <c r="E572" t="s">
        <v>49</v>
      </c>
      <c r="F572" t="s">
        <v>21</v>
      </c>
      <c r="G572" t="s">
        <v>21</v>
      </c>
      <c r="H572" t="s">
        <v>22</v>
      </c>
      <c r="I572" t="s">
        <v>418</v>
      </c>
      <c r="J572">
        <v>0</v>
      </c>
      <c r="L572">
        <v>0</v>
      </c>
      <c r="M572">
        <v>0</v>
      </c>
      <c r="O572" t="s">
        <v>52</v>
      </c>
      <c r="P572" t="s">
        <v>256</v>
      </c>
      <c r="Q572" t="s">
        <v>573</v>
      </c>
      <c r="U572" t="str">
        <f t="shared" si="24"/>
        <v>Chasing Won</v>
      </c>
      <c r="X572" t="str">
        <f t="shared" si="25"/>
        <v>No</v>
      </c>
      <c r="AA572" t="str">
        <f t="shared" si="26"/>
        <v>2015</v>
      </c>
    </row>
    <row r="573" spans="1:27" x14ac:dyDescent="0.35">
      <c r="A573">
        <v>572</v>
      </c>
      <c r="B573" t="s">
        <v>569</v>
      </c>
      <c r="C573" t="s">
        <v>19</v>
      </c>
      <c r="D573" t="s">
        <v>605</v>
      </c>
      <c r="E573" t="s">
        <v>20</v>
      </c>
      <c r="F573" t="s">
        <v>29</v>
      </c>
      <c r="G573" t="s">
        <v>20</v>
      </c>
      <c r="H573" t="s">
        <v>50</v>
      </c>
      <c r="I573" t="s">
        <v>23</v>
      </c>
      <c r="J573">
        <v>0</v>
      </c>
      <c r="K573" t="s">
        <v>29</v>
      </c>
      <c r="L573">
        <v>0</v>
      </c>
      <c r="M573">
        <v>9</v>
      </c>
      <c r="N573" t="s">
        <v>92</v>
      </c>
      <c r="O573" t="s">
        <v>25</v>
      </c>
      <c r="P573" t="s">
        <v>85</v>
      </c>
      <c r="Q573" t="s">
        <v>485</v>
      </c>
      <c r="U573" t="str">
        <f t="shared" si="24"/>
        <v>Chasing Won</v>
      </c>
      <c r="X573" t="str">
        <f t="shared" si="25"/>
        <v>No</v>
      </c>
      <c r="AA573" t="str">
        <f t="shared" si="26"/>
        <v>2015</v>
      </c>
    </row>
    <row r="574" spans="1:27" x14ac:dyDescent="0.35">
      <c r="A574">
        <v>573</v>
      </c>
      <c r="B574" t="s">
        <v>569</v>
      </c>
      <c r="C574" t="s">
        <v>55</v>
      </c>
      <c r="D574" t="s">
        <v>606</v>
      </c>
      <c r="E574" t="s">
        <v>29</v>
      </c>
      <c r="F574" t="s">
        <v>141</v>
      </c>
      <c r="G574" t="s">
        <v>29</v>
      </c>
      <c r="H574" t="s">
        <v>50</v>
      </c>
      <c r="I574" t="s">
        <v>23</v>
      </c>
      <c r="J574">
        <v>0</v>
      </c>
      <c r="K574" t="s">
        <v>29</v>
      </c>
      <c r="L574">
        <v>25</v>
      </c>
      <c r="M574">
        <v>0</v>
      </c>
      <c r="N574" t="s">
        <v>66</v>
      </c>
      <c r="O574" t="s">
        <v>57</v>
      </c>
      <c r="P574" t="s">
        <v>256</v>
      </c>
      <c r="Q574" t="s">
        <v>533</v>
      </c>
      <c r="U574" t="str">
        <f t="shared" si="24"/>
        <v>Batting First Won</v>
      </c>
      <c r="X574" t="str">
        <f t="shared" si="25"/>
        <v>Yes</v>
      </c>
      <c r="AA574" t="str">
        <f t="shared" si="26"/>
        <v>2015</v>
      </c>
    </row>
    <row r="575" spans="1:27" x14ac:dyDescent="0.35">
      <c r="A575">
        <v>574</v>
      </c>
      <c r="B575" t="s">
        <v>569</v>
      </c>
      <c r="C575" t="s">
        <v>28</v>
      </c>
      <c r="D575" t="s">
        <v>607</v>
      </c>
      <c r="E575" t="s">
        <v>21</v>
      </c>
      <c r="F575" t="s">
        <v>146</v>
      </c>
      <c r="G575" t="s">
        <v>21</v>
      </c>
      <c r="H575" t="s">
        <v>50</v>
      </c>
      <c r="I575" t="s">
        <v>23</v>
      </c>
      <c r="J575">
        <v>0</v>
      </c>
      <c r="K575" t="s">
        <v>21</v>
      </c>
      <c r="L575">
        <v>71</v>
      </c>
      <c r="M575">
        <v>0</v>
      </c>
      <c r="N575" t="s">
        <v>250</v>
      </c>
      <c r="O575" t="s">
        <v>32</v>
      </c>
      <c r="P575" t="s">
        <v>46</v>
      </c>
      <c r="Q575" t="s">
        <v>47</v>
      </c>
      <c r="U575" t="str">
        <f t="shared" si="24"/>
        <v>Batting First Won</v>
      </c>
      <c r="X575" t="str">
        <f t="shared" si="25"/>
        <v>Yes</v>
      </c>
      <c r="AA575" t="str">
        <f t="shared" si="26"/>
        <v>2015</v>
      </c>
    </row>
    <row r="576" spans="1:27" x14ac:dyDescent="0.35">
      <c r="A576">
        <v>575</v>
      </c>
      <c r="B576" t="s">
        <v>569</v>
      </c>
      <c r="C576" t="s">
        <v>516</v>
      </c>
      <c r="D576" t="s">
        <v>608</v>
      </c>
      <c r="E576" t="s">
        <v>21</v>
      </c>
      <c r="F576" t="s">
        <v>141</v>
      </c>
      <c r="G576" t="s">
        <v>141</v>
      </c>
      <c r="H576" t="s">
        <v>22</v>
      </c>
      <c r="I576" t="s">
        <v>23</v>
      </c>
      <c r="J576">
        <v>0</v>
      </c>
      <c r="K576" t="s">
        <v>141</v>
      </c>
      <c r="L576">
        <v>0</v>
      </c>
      <c r="M576">
        <v>3</v>
      </c>
      <c r="N576" t="s">
        <v>197</v>
      </c>
      <c r="O576" t="s">
        <v>517</v>
      </c>
      <c r="P576" t="s">
        <v>46</v>
      </c>
      <c r="Q576" t="s">
        <v>85</v>
      </c>
      <c r="U576" t="str">
        <f t="shared" si="24"/>
        <v>Chasing Won</v>
      </c>
      <c r="X576" t="str">
        <f t="shared" si="25"/>
        <v>Yes</v>
      </c>
      <c r="AA576" t="str">
        <f t="shared" si="26"/>
        <v>2015</v>
      </c>
    </row>
    <row r="577" spans="1:27" x14ac:dyDescent="0.35">
      <c r="A577">
        <v>576</v>
      </c>
      <c r="B577" t="s">
        <v>569</v>
      </c>
      <c r="C577" t="s">
        <v>61</v>
      </c>
      <c r="D577" t="s">
        <v>609</v>
      </c>
      <c r="E577" t="s">
        <v>29</v>
      </c>
      <c r="F577" t="s">
        <v>141</v>
      </c>
      <c r="G577" t="s">
        <v>141</v>
      </c>
      <c r="H577" t="s">
        <v>22</v>
      </c>
      <c r="I577" t="s">
        <v>23</v>
      </c>
      <c r="J577">
        <v>0</v>
      </c>
      <c r="K577" t="s">
        <v>29</v>
      </c>
      <c r="L577">
        <v>41</v>
      </c>
      <c r="M577">
        <v>0</v>
      </c>
      <c r="N577" t="s">
        <v>110</v>
      </c>
      <c r="O577" t="s">
        <v>64</v>
      </c>
      <c r="P577" t="s">
        <v>256</v>
      </c>
      <c r="Q577" t="s">
        <v>533</v>
      </c>
      <c r="U577" t="str">
        <f t="shared" si="24"/>
        <v>Batting First Won</v>
      </c>
      <c r="X577" t="str">
        <f t="shared" si="25"/>
        <v>No</v>
      </c>
      <c r="AA577" t="str">
        <f t="shared" si="26"/>
        <v>2015</v>
      </c>
    </row>
    <row r="578" spans="1:27" x14ac:dyDescent="0.35">
      <c r="A578">
        <v>577</v>
      </c>
      <c r="B578" t="s">
        <v>610</v>
      </c>
      <c r="C578" t="s">
        <v>55</v>
      </c>
      <c r="D578" s="1">
        <v>42617</v>
      </c>
      <c r="E578" t="s">
        <v>29</v>
      </c>
      <c r="F578" t="s">
        <v>611</v>
      </c>
      <c r="G578" t="s">
        <v>29</v>
      </c>
      <c r="H578" t="s">
        <v>50</v>
      </c>
      <c r="I578" t="s">
        <v>23</v>
      </c>
      <c r="J578">
        <v>0</v>
      </c>
      <c r="K578" t="s">
        <v>611</v>
      </c>
      <c r="L578">
        <v>0</v>
      </c>
      <c r="M578">
        <v>9</v>
      </c>
      <c r="N578" t="s">
        <v>428</v>
      </c>
      <c r="O578" t="s">
        <v>57</v>
      </c>
      <c r="P578" t="s">
        <v>256</v>
      </c>
      <c r="Q578" t="s">
        <v>41</v>
      </c>
      <c r="U578" t="str">
        <f t="shared" si="24"/>
        <v>Chasing Won</v>
      </c>
      <c r="X578" t="str">
        <f t="shared" si="25"/>
        <v>No</v>
      </c>
      <c r="AA578" t="str">
        <f t="shared" si="26"/>
        <v>2016</v>
      </c>
    </row>
    <row r="579" spans="1:27" x14ac:dyDescent="0.35">
      <c r="A579">
        <v>578</v>
      </c>
      <c r="B579" t="s">
        <v>610</v>
      </c>
      <c r="C579" t="s">
        <v>61</v>
      </c>
      <c r="D579" s="1">
        <v>42647</v>
      </c>
      <c r="E579" t="s">
        <v>49</v>
      </c>
      <c r="F579" t="s">
        <v>37</v>
      </c>
      <c r="G579" t="s">
        <v>37</v>
      </c>
      <c r="H579" t="s">
        <v>22</v>
      </c>
      <c r="I579" t="s">
        <v>23</v>
      </c>
      <c r="J579">
        <v>0</v>
      </c>
      <c r="K579" t="s">
        <v>37</v>
      </c>
      <c r="L579">
        <v>0</v>
      </c>
      <c r="M579">
        <v>9</v>
      </c>
      <c r="N579" t="s">
        <v>577</v>
      </c>
      <c r="O579" t="s">
        <v>64</v>
      </c>
      <c r="P579" t="s">
        <v>34</v>
      </c>
      <c r="Q579" t="s">
        <v>47</v>
      </c>
      <c r="U579" t="str">
        <f t="shared" ref="U579:U642" si="27">IF(L579&gt;0,"Batting First Won","Chasing Won")</f>
        <v>Chasing Won</v>
      </c>
      <c r="X579" t="str">
        <f t="shared" ref="X579:X642" si="28">IF(G579=K579,"Yes","No")</f>
        <v>Yes</v>
      </c>
      <c r="AA579" t="str">
        <f t="shared" ref="AA579:AA642" si="29">RIGHT(B579,4)</f>
        <v>2016</v>
      </c>
    </row>
    <row r="580" spans="1:27" x14ac:dyDescent="0.35">
      <c r="A580">
        <v>579</v>
      </c>
      <c r="B580" t="s">
        <v>610</v>
      </c>
      <c r="C580" t="s">
        <v>101</v>
      </c>
      <c r="D580" s="1">
        <v>42678</v>
      </c>
      <c r="E580" t="s">
        <v>43</v>
      </c>
      <c r="F580" t="s">
        <v>36</v>
      </c>
      <c r="G580" t="s">
        <v>36</v>
      </c>
      <c r="H580" t="s">
        <v>22</v>
      </c>
      <c r="I580" t="s">
        <v>23</v>
      </c>
      <c r="J580">
        <v>0</v>
      </c>
      <c r="K580" t="s">
        <v>36</v>
      </c>
      <c r="L580">
        <v>0</v>
      </c>
      <c r="M580">
        <v>5</v>
      </c>
      <c r="N580" t="s">
        <v>484</v>
      </c>
      <c r="O580" t="s">
        <v>102</v>
      </c>
      <c r="P580" t="s">
        <v>46</v>
      </c>
      <c r="Q580" t="s">
        <v>432</v>
      </c>
      <c r="U580" t="str">
        <f t="shared" si="27"/>
        <v>Chasing Won</v>
      </c>
      <c r="X580" t="str">
        <f t="shared" si="28"/>
        <v>Yes</v>
      </c>
      <c r="AA580" t="str">
        <f t="shared" si="29"/>
        <v>2016</v>
      </c>
    </row>
    <row r="581" spans="1:27" x14ac:dyDescent="0.35">
      <c r="A581">
        <v>580</v>
      </c>
      <c r="B581" t="s">
        <v>610</v>
      </c>
      <c r="C581" t="s">
        <v>48</v>
      </c>
      <c r="D581" s="1">
        <v>42708</v>
      </c>
      <c r="E581" t="s">
        <v>21</v>
      </c>
      <c r="F581" t="s">
        <v>20</v>
      </c>
      <c r="G581" t="s">
        <v>20</v>
      </c>
      <c r="H581" t="s">
        <v>22</v>
      </c>
      <c r="I581" t="s">
        <v>23</v>
      </c>
      <c r="J581">
        <v>0</v>
      </c>
      <c r="K581" t="s">
        <v>21</v>
      </c>
      <c r="L581">
        <v>45</v>
      </c>
      <c r="M581">
        <v>0</v>
      </c>
      <c r="N581" t="s">
        <v>250</v>
      </c>
      <c r="O581" t="s">
        <v>52</v>
      </c>
      <c r="P581" t="s">
        <v>256</v>
      </c>
      <c r="Q581" t="s">
        <v>82</v>
      </c>
      <c r="U581" t="str">
        <f t="shared" si="27"/>
        <v>Batting First Won</v>
      </c>
      <c r="X581" t="str">
        <f t="shared" si="28"/>
        <v>No</v>
      </c>
      <c r="AA581" t="str">
        <f t="shared" si="29"/>
        <v>2016</v>
      </c>
    </row>
    <row r="582" spans="1:27" x14ac:dyDescent="0.35">
      <c r="A582">
        <v>581</v>
      </c>
      <c r="B582" t="s">
        <v>610</v>
      </c>
      <c r="C582" t="s">
        <v>61</v>
      </c>
      <c r="D582" t="s">
        <v>612</v>
      </c>
      <c r="E582" t="s">
        <v>37</v>
      </c>
      <c r="F582" t="s">
        <v>29</v>
      </c>
      <c r="G582" t="s">
        <v>29</v>
      </c>
      <c r="H582" t="s">
        <v>22</v>
      </c>
      <c r="I582" t="s">
        <v>23</v>
      </c>
      <c r="J582">
        <v>0</v>
      </c>
      <c r="K582" t="s">
        <v>29</v>
      </c>
      <c r="L582">
        <v>0</v>
      </c>
      <c r="M582">
        <v>6</v>
      </c>
      <c r="N582" t="s">
        <v>110</v>
      </c>
      <c r="O582" t="s">
        <v>64</v>
      </c>
      <c r="P582" t="s">
        <v>40</v>
      </c>
      <c r="Q582" t="s">
        <v>34</v>
      </c>
      <c r="U582" t="str">
        <f t="shared" si="27"/>
        <v>Chasing Won</v>
      </c>
      <c r="X582" t="str">
        <f t="shared" si="28"/>
        <v>Yes</v>
      </c>
      <c r="AA582" t="str">
        <f t="shared" si="29"/>
        <v>2016</v>
      </c>
    </row>
    <row r="583" spans="1:27" x14ac:dyDescent="0.35">
      <c r="A583">
        <v>582</v>
      </c>
      <c r="B583" t="s">
        <v>610</v>
      </c>
      <c r="C583" t="s">
        <v>35</v>
      </c>
      <c r="D583" t="s">
        <v>613</v>
      </c>
      <c r="E583" t="s">
        <v>611</v>
      </c>
      <c r="F583" t="s">
        <v>36</v>
      </c>
      <c r="G583" t="s">
        <v>611</v>
      </c>
      <c r="H583" t="s">
        <v>50</v>
      </c>
      <c r="I583" t="s">
        <v>23</v>
      </c>
      <c r="J583">
        <v>0</v>
      </c>
      <c r="K583" t="s">
        <v>36</v>
      </c>
      <c r="L583">
        <v>0</v>
      </c>
      <c r="M583">
        <v>7</v>
      </c>
      <c r="N583" t="s">
        <v>484</v>
      </c>
      <c r="O583" t="s">
        <v>39</v>
      </c>
      <c r="P583" t="s">
        <v>432</v>
      </c>
      <c r="Q583" t="s">
        <v>41</v>
      </c>
      <c r="U583" t="str">
        <f t="shared" si="27"/>
        <v>Chasing Won</v>
      </c>
      <c r="X583" t="str">
        <f t="shared" si="28"/>
        <v>No</v>
      </c>
      <c r="AA583" t="str">
        <f t="shared" si="29"/>
        <v>2016</v>
      </c>
    </row>
    <row r="584" spans="1:27" x14ac:dyDescent="0.35">
      <c r="A584">
        <v>583</v>
      </c>
      <c r="B584" t="s">
        <v>610</v>
      </c>
      <c r="C584" t="s">
        <v>71</v>
      </c>
      <c r="D584" t="s">
        <v>614</v>
      </c>
      <c r="E584" t="s">
        <v>43</v>
      </c>
      <c r="F584" t="s">
        <v>49</v>
      </c>
      <c r="G584" t="s">
        <v>49</v>
      </c>
      <c r="H584" t="s">
        <v>22</v>
      </c>
      <c r="I584" t="s">
        <v>23</v>
      </c>
      <c r="J584">
        <v>0</v>
      </c>
      <c r="K584" t="s">
        <v>49</v>
      </c>
      <c r="L584">
        <v>0</v>
      </c>
      <c r="M584">
        <v>8</v>
      </c>
      <c r="N584" t="s">
        <v>207</v>
      </c>
      <c r="O584" t="s">
        <v>73</v>
      </c>
      <c r="P584" t="s">
        <v>34</v>
      </c>
      <c r="Q584" t="s">
        <v>47</v>
      </c>
      <c r="U584" t="str">
        <f t="shared" si="27"/>
        <v>Chasing Won</v>
      </c>
      <c r="X584" t="str">
        <f t="shared" si="28"/>
        <v>Yes</v>
      </c>
      <c r="AA584" t="str">
        <f t="shared" si="29"/>
        <v>2016</v>
      </c>
    </row>
    <row r="585" spans="1:27" x14ac:dyDescent="0.35">
      <c r="A585">
        <v>584</v>
      </c>
      <c r="B585" t="s">
        <v>610</v>
      </c>
      <c r="C585" t="s">
        <v>19</v>
      </c>
      <c r="D585" t="s">
        <v>615</v>
      </c>
      <c r="E585" t="s">
        <v>20</v>
      </c>
      <c r="F585" t="s">
        <v>37</v>
      </c>
      <c r="G585" t="s">
        <v>20</v>
      </c>
      <c r="H585" t="s">
        <v>50</v>
      </c>
      <c r="I585" t="s">
        <v>23</v>
      </c>
      <c r="J585">
        <v>0</v>
      </c>
      <c r="K585" t="s">
        <v>37</v>
      </c>
      <c r="L585">
        <v>0</v>
      </c>
      <c r="M585">
        <v>8</v>
      </c>
      <c r="N585" t="s">
        <v>100</v>
      </c>
      <c r="O585" t="s">
        <v>25</v>
      </c>
      <c r="P585" t="s">
        <v>46</v>
      </c>
      <c r="Q585" t="s">
        <v>41</v>
      </c>
      <c r="U585" t="str">
        <f t="shared" si="27"/>
        <v>Chasing Won</v>
      </c>
      <c r="X585" t="str">
        <f t="shared" si="28"/>
        <v>No</v>
      </c>
      <c r="AA585" t="str">
        <f t="shared" si="29"/>
        <v>2016</v>
      </c>
    </row>
    <row r="586" spans="1:27" x14ac:dyDescent="0.35">
      <c r="A586">
        <v>585</v>
      </c>
      <c r="B586" t="s">
        <v>610</v>
      </c>
      <c r="C586" t="s">
        <v>55</v>
      </c>
      <c r="D586" t="s">
        <v>615</v>
      </c>
      <c r="E586" t="s">
        <v>29</v>
      </c>
      <c r="F586" t="s">
        <v>36</v>
      </c>
      <c r="G586" t="s">
        <v>36</v>
      </c>
      <c r="H586" t="s">
        <v>22</v>
      </c>
      <c r="I586" t="s">
        <v>23</v>
      </c>
      <c r="J586">
        <v>0</v>
      </c>
      <c r="K586" t="s">
        <v>36</v>
      </c>
      <c r="L586">
        <v>0</v>
      </c>
      <c r="M586">
        <v>3</v>
      </c>
      <c r="N586" t="s">
        <v>484</v>
      </c>
      <c r="O586" t="s">
        <v>57</v>
      </c>
      <c r="P586" t="s">
        <v>256</v>
      </c>
      <c r="Q586" t="s">
        <v>82</v>
      </c>
      <c r="U586" t="str">
        <f t="shared" si="27"/>
        <v>Chasing Won</v>
      </c>
      <c r="X586" t="str">
        <f t="shared" si="28"/>
        <v>Yes</v>
      </c>
      <c r="AA586" t="str">
        <f t="shared" si="29"/>
        <v>2016</v>
      </c>
    </row>
    <row r="587" spans="1:27" x14ac:dyDescent="0.35">
      <c r="A587">
        <v>586</v>
      </c>
      <c r="B587" t="s">
        <v>610</v>
      </c>
      <c r="C587" t="s">
        <v>101</v>
      </c>
      <c r="D587" t="s">
        <v>616</v>
      </c>
      <c r="E587" t="s">
        <v>611</v>
      </c>
      <c r="F587" t="s">
        <v>43</v>
      </c>
      <c r="G587" t="s">
        <v>611</v>
      </c>
      <c r="H587" t="s">
        <v>50</v>
      </c>
      <c r="I587" t="s">
        <v>23</v>
      </c>
      <c r="J587">
        <v>0</v>
      </c>
      <c r="K587" t="s">
        <v>43</v>
      </c>
      <c r="L587">
        <v>0</v>
      </c>
      <c r="M587">
        <v>6</v>
      </c>
      <c r="N587" t="s">
        <v>482</v>
      </c>
      <c r="O587" t="s">
        <v>102</v>
      </c>
      <c r="P587" t="s">
        <v>34</v>
      </c>
      <c r="Q587" t="s">
        <v>47</v>
      </c>
      <c r="U587" t="str">
        <f t="shared" si="27"/>
        <v>Chasing Won</v>
      </c>
      <c r="X587" t="str">
        <f t="shared" si="28"/>
        <v>No</v>
      </c>
      <c r="AA587" t="str">
        <f t="shared" si="29"/>
        <v>2016</v>
      </c>
    </row>
    <row r="588" spans="1:27" x14ac:dyDescent="0.35">
      <c r="A588">
        <v>587</v>
      </c>
      <c r="B588" t="s">
        <v>610</v>
      </c>
      <c r="C588" t="s">
        <v>48</v>
      </c>
      <c r="D588" t="s">
        <v>616</v>
      </c>
      <c r="E588" t="s">
        <v>21</v>
      </c>
      <c r="F588" t="s">
        <v>49</v>
      </c>
      <c r="G588" t="s">
        <v>49</v>
      </c>
      <c r="H588" t="s">
        <v>22</v>
      </c>
      <c r="I588" t="s">
        <v>23</v>
      </c>
      <c r="J588">
        <v>0</v>
      </c>
      <c r="K588" t="s">
        <v>49</v>
      </c>
      <c r="L588">
        <v>0</v>
      </c>
      <c r="M588">
        <v>7</v>
      </c>
      <c r="N588" t="s">
        <v>617</v>
      </c>
      <c r="O588" t="s">
        <v>52</v>
      </c>
      <c r="P588" t="s">
        <v>432</v>
      </c>
      <c r="Q588" t="s">
        <v>33</v>
      </c>
      <c r="U588" t="str">
        <f t="shared" si="27"/>
        <v>Chasing Won</v>
      </c>
      <c r="X588" t="str">
        <f t="shared" si="28"/>
        <v>Yes</v>
      </c>
      <c r="AA588" t="str">
        <f t="shared" si="29"/>
        <v>2016</v>
      </c>
    </row>
    <row r="589" spans="1:27" x14ac:dyDescent="0.35">
      <c r="A589">
        <v>588</v>
      </c>
      <c r="B589" t="s">
        <v>610</v>
      </c>
      <c r="C589" t="s">
        <v>19</v>
      </c>
      <c r="D589" t="s">
        <v>618</v>
      </c>
      <c r="E589" t="s">
        <v>29</v>
      </c>
      <c r="F589" t="s">
        <v>20</v>
      </c>
      <c r="G589" t="s">
        <v>20</v>
      </c>
      <c r="H589" t="s">
        <v>22</v>
      </c>
      <c r="I589" t="s">
        <v>23</v>
      </c>
      <c r="J589">
        <v>0</v>
      </c>
      <c r="K589" t="s">
        <v>20</v>
      </c>
      <c r="L589">
        <v>0</v>
      </c>
      <c r="M589">
        <v>7</v>
      </c>
      <c r="N589" t="s">
        <v>109</v>
      </c>
      <c r="O589" t="s">
        <v>25</v>
      </c>
      <c r="P589" t="s">
        <v>256</v>
      </c>
      <c r="Q589" t="s">
        <v>82</v>
      </c>
      <c r="U589" t="str">
        <f t="shared" si="27"/>
        <v>Chasing Won</v>
      </c>
      <c r="X589" t="str">
        <f t="shared" si="28"/>
        <v>Yes</v>
      </c>
      <c r="AA589" t="str">
        <f t="shared" si="29"/>
        <v>2016</v>
      </c>
    </row>
    <row r="590" spans="1:27" x14ac:dyDescent="0.35">
      <c r="A590">
        <v>589</v>
      </c>
      <c r="B590" t="s">
        <v>610</v>
      </c>
      <c r="C590" t="s">
        <v>101</v>
      </c>
      <c r="D590" t="s">
        <v>619</v>
      </c>
      <c r="E590" t="s">
        <v>43</v>
      </c>
      <c r="F590" t="s">
        <v>37</v>
      </c>
      <c r="G590" t="s">
        <v>37</v>
      </c>
      <c r="H590" t="s">
        <v>22</v>
      </c>
      <c r="I590" t="s">
        <v>23</v>
      </c>
      <c r="J590">
        <v>0</v>
      </c>
      <c r="K590" t="s">
        <v>37</v>
      </c>
      <c r="L590">
        <v>0</v>
      </c>
      <c r="M590">
        <v>6</v>
      </c>
      <c r="N590" t="s">
        <v>70</v>
      </c>
      <c r="O590" t="s">
        <v>102</v>
      </c>
      <c r="P590" t="s">
        <v>34</v>
      </c>
      <c r="Q590" t="s">
        <v>47</v>
      </c>
      <c r="U590" t="str">
        <f t="shared" si="27"/>
        <v>Chasing Won</v>
      </c>
      <c r="X590" t="str">
        <f t="shared" si="28"/>
        <v>Yes</v>
      </c>
      <c r="AA590" t="str">
        <f t="shared" si="29"/>
        <v>2016</v>
      </c>
    </row>
    <row r="591" spans="1:27" x14ac:dyDescent="0.35">
      <c r="A591">
        <v>590</v>
      </c>
      <c r="B591" t="s">
        <v>610</v>
      </c>
      <c r="C591" t="s">
        <v>55</v>
      </c>
      <c r="D591" t="s">
        <v>620</v>
      </c>
      <c r="E591" t="s">
        <v>21</v>
      </c>
      <c r="F591" t="s">
        <v>29</v>
      </c>
      <c r="G591" t="s">
        <v>29</v>
      </c>
      <c r="H591" t="s">
        <v>22</v>
      </c>
      <c r="I591" t="s">
        <v>23</v>
      </c>
      <c r="J591">
        <v>0</v>
      </c>
      <c r="K591" t="s">
        <v>29</v>
      </c>
      <c r="L591">
        <v>0</v>
      </c>
      <c r="M591">
        <v>6</v>
      </c>
      <c r="N591" t="s">
        <v>110</v>
      </c>
      <c r="O591" t="s">
        <v>57</v>
      </c>
      <c r="P591" t="s">
        <v>46</v>
      </c>
      <c r="Q591" t="s">
        <v>41</v>
      </c>
      <c r="U591" t="str">
        <f t="shared" si="27"/>
        <v>Chasing Won</v>
      </c>
      <c r="X591" t="str">
        <f t="shared" si="28"/>
        <v>Yes</v>
      </c>
      <c r="AA591" t="str">
        <f t="shared" si="29"/>
        <v>2016</v>
      </c>
    </row>
    <row r="592" spans="1:27" x14ac:dyDescent="0.35">
      <c r="A592">
        <v>591</v>
      </c>
      <c r="B592" t="s">
        <v>610</v>
      </c>
      <c r="C592" t="s">
        <v>35</v>
      </c>
      <c r="D592" t="s">
        <v>621</v>
      </c>
      <c r="E592" t="s">
        <v>36</v>
      </c>
      <c r="F592" t="s">
        <v>20</v>
      </c>
      <c r="G592" t="s">
        <v>20</v>
      </c>
      <c r="H592" t="s">
        <v>22</v>
      </c>
      <c r="I592" t="s">
        <v>23</v>
      </c>
      <c r="J592">
        <v>0</v>
      </c>
      <c r="K592" t="s">
        <v>20</v>
      </c>
      <c r="L592">
        <v>0</v>
      </c>
      <c r="M592">
        <v>10</v>
      </c>
      <c r="N592" t="s">
        <v>79</v>
      </c>
      <c r="O592" t="s">
        <v>39</v>
      </c>
      <c r="P592" t="s">
        <v>622</v>
      </c>
      <c r="Q592" t="s">
        <v>256</v>
      </c>
      <c r="U592" t="str">
        <f t="shared" si="27"/>
        <v>Chasing Won</v>
      </c>
      <c r="X592" t="str">
        <f t="shared" si="28"/>
        <v>Yes</v>
      </c>
      <c r="AA592" t="str">
        <f t="shared" si="29"/>
        <v>2016</v>
      </c>
    </row>
    <row r="593" spans="1:27" x14ac:dyDescent="0.35">
      <c r="A593">
        <v>592</v>
      </c>
      <c r="B593" t="s">
        <v>610</v>
      </c>
      <c r="C593" t="s">
        <v>28</v>
      </c>
      <c r="D593" t="s">
        <v>623</v>
      </c>
      <c r="E593" t="s">
        <v>21</v>
      </c>
      <c r="F593" t="s">
        <v>611</v>
      </c>
      <c r="G593" t="s">
        <v>611</v>
      </c>
      <c r="H593" t="s">
        <v>22</v>
      </c>
      <c r="I593" t="s">
        <v>23</v>
      </c>
      <c r="J593">
        <v>0</v>
      </c>
      <c r="K593" t="s">
        <v>21</v>
      </c>
      <c r="L593">
        <v>13</v>
      </c>
      <c r="M593">
        <v>0</v>
      </c>
      <c r="N593" t="s">
        <v>250</v>
      </c>
      <c r="O593" t="s">
        <v>32</v>
      </c>
      <c r="P593" t="s">
        <v>85</v>
      </c>
      <c r="Q593" t="s">
        <v>82</v>
      </c>
      <c r="U593" t="str">
        <f t="shared" si="27"/>
        <v>Batting First Won</v>
      </c>
      <c r="X593" t="str">
        <f t="shared" si="28"/>
        <v>No</v>
      </c>
      <c r="AA593" t="str">
        <f t="shared" si="29"/>
        <v>2016</v>
      </c>
    </row>
    <row r="594" spans="1:27" x14ac:dyDescent="0.35">
      <c r="A594">
        <v>593</v>
      </c>
      <c r="B594" t="s">
        <v>610</v>
      </c>
      <c r="C594" t="s">
        <v>71</v>
      </c>
      <c r="D594" t="s">
        <v>624</v>
      </c>
      <c r="E594" t="s">
        <v>49</v>
      </c>
      <c r="F594" t="s">
        <v>29</v>
      </c>
      <c r="G594" t="s">
        <v>29</v>
      </c>
      <c r="H594" t="s">
        <v>22</v>
      </c>
      <c r="I594" t="s">
        <v>23</v>
      </c>
      <c r="J594">
        <v>0</v>
      </c>
      <c r="K594" t="s">
        <v>49</v>
      </c>
      <c r="L594">
        <v>10</v>
      </c>
      <c r="M594">
        <v>0</v>
      </c>
      <c r="N594" t="s">
        <v>59</v>
      </c>
      <c r="O594" t="s">
        <v>73</v>
      </c>
      <c r="P594" t="s">
        <v>34</v>
      </c>
      <c r="Q594" t="s">
        <v>47</v>
      </c>
      <c r="U594" t="str">
        <f t="shared" si="27"/>
        <v>Batting First Won</v>
      </c>
      <c r="X594" t="str">
        <f t="shared" si="28"/>
        <v>No</v>
      </c>
      <c r="AA594" t="str">
        <f t="shared" si="29"/>
        <v>2016</v>
      </c>
    </row>
    <row r="595" spans="1:27" x14ac:dyDescent="0.35">
      <c r="A595">
        <v>594</v>
      </c>
      <c r="B595" t="s">
        <v>610</v>
      </c>
      <c r="C595" t="s">
        <v>19</v>
      </c>
      <c r="D595" t="s">
        <v>624</v>
      </c>
      <c r="E595" t="s">
        <v>43</v>
      </c>
      <c r="F595" t="s">
        <v>20</v>
      </c>
      <c r="G595" t="s">
        <v>20</v>
      </c>
      <c r="H595" t="s">
        <v>22</v>
      </c>
      <c r="I595" t="s">
        <v>23</v>
      </c>
      <c r="J595">
        <v>0</v>
      </c>
      <c r="K595" t="s">
        <v>20</v>
      </c>
      <c r="L595">
        <v>0</v>
      </c>
      <c r="M595">
        <v>5</v>
      </c>
      <c r="N595" t="s">
        <v>625</v>
      </c>
      <c r="O595" t="s">
        <v>25</v>
      </c>
      <c r="P595" t="s">
        <v>46</v>
      </c>
      <c r="Q595" t="s">
        <v>41</v>
      </c>
      <c r="U595" t="str">
        <f t="shared" si="27"/>
        <v>Chasing Won</v>
      </c>
      <c r="X595" t="str">
        <f t="shared" si="28"/>
        <v>Yes</v>
      </c>
      <c r="AA595" t="str">
        <f t="shared" si="29"/>
        <v>2016</v>
      </c>
    </row>
    <row r="596" spans="1:27" x14ac:dyDescent="0.35">
      <c r="A596">
        <v>595</v>
      </c>
      <c r="B596" t="s">
        <v>610</v>
      </c>
      <c r="C596" t="s">
        <v>35</v>
      </c>
      <c r="D596" t="s">
        <v>626</v>
      </c>
      <c r="E596" t="s">
        <v>21</v>
      </c>
      <c r="F596" t="s">
        <v>36</v>
      </c>
      <c r="G596" t="s">
        <v>21</v>
      </c>
      <c r="H596" t="s">
        <v>50</v>
      </c>
      <c r="I596" t="s">
        <v>23</v>
      </c>
      <c r="J596">
        <v>0</v>
      </c>
      <c r="K596" t="s">
        <v>36</v>
      </c>
      <c r="L596">
        <v>0</v>
      </c>
      <c r="M596">
        <v>6</v>
      </c>
      <c r="N596" t="s">
        <v>396</v>
      </c>
      <c r="O596" t="s">
        <v>39</v>
      </c>
      <c r="P596" t="s">
        <v>622</v>
      </c>
      <c r="Q596" t="s">
        <v>436</v>
      </c>
      <c r="U596" t="str">
        <f t="shared" si="27"/>
        <v>Chasing Won</v>
      </c>
      <c r="X596" t="str">
        <f t="shared" si="28"/>
        <v>No</v>
      </c>
      <c r="AA596" t="str">
        <f t="shared" si="29"/>
        <v>2016</v>
      </c>
    </row>
    <row r="597" spans="1:27" x14ac:dyDescent="0.35">
      <c r="A597">
        <v>596</v>
      </c>
      <c r="B597" t="s">
        <v>610</v>
      </c>
      <c r="C597" t="s">
        <v>28</v>
      </c>
      <c r="D597" t="s">
        <v>626</v>
      </c>
      <c r="E597" t="s">
        <v>611</v>
      </c>
      <c r="F597" t="s">
        <v>37</v>
      </c>
      <c r="G597" t="s">
        <v>37</v>
      </c>
      <c r="H597" t="s">
        <v>22</v>
      </c>
      <c r="I597" t="s">
        <v>23</v>
      </c>
      <c r="J597">
        <v>0</v>
      </c>
      <c r="K597" t="s">
        <v>37</v>
      </c>
      <c r="L597">
        <v>0</v>
      </c>
      <c r="M597">
        <v>2</v>
      </c>
      <c r="N597" t="s">
        <v>627</v>
      </c>
      <c r="O597" t="s">
        <v>32</v>
      </c>
      <c r="P597" t="s">
        <v>85</v>
      </c>
      <c r="Q597" t="s">
        <v>33</v>
      </c>
      <c r="U597" t="str">
        <f t="shared" si="27"/>
        <v>Chasing Won</v>
      </c>
      <c r="X597" t="str">
        <f t="shared" si="28"/>
        <v>Yes</v>
      </c>
      <c r="AA597" t="str">
        <f t="shared" si="29"/>
        <v>2016</v>
      </c>
    </row>
    <row r="598" spans="1:27" x14ac:dyDescent="0.35">
      <c r="A598">
        <v>597</v>
      </c>
      <c r="B598" t="s">
        <v>610</v>
      </c>
      <c r="C598" t="s">
        <v>101</v>
      </c>
      <c r="D598" t="s">
        <v>628</v>
      </c>
      <c r="E598" t="s">
        <v>29</v>
      </c>
      <c r="F598" t="s">
        <v>43</v>
      </c>
      <c r="G598" t="s">
        <v>43</v>
      </c>
      <c r="H598" t="s">
        <v>22</v>
      </c>
      <c r="I598" t="s">
        <v>23</v>
      </c>
      <c r="J598">
        <v>0</v>
      </c>
      <c r="K598" t="s">
        <v>29</v>
      </c>
      <c r="L598">
        <v>25</v>
      </c>
      <c r="M598">
        <v>0</v>
      </c>
      <c r="N598" t="s">
        <v>515</v>
      </c>
      <c r="O598" t="s">
        <v>102</v>
      </c>
      <c r="P598" t="s">
        <v>40</v>
      </c>
      <c r="Q598" t="s">
        <v>387</v>
      </c>
      <c r="U598" t="str">
        <f t="shared" si="27"/>
        <v>Batting First Won</v>
      </c>
      <c r="X598" t="str">
        <f t="shared" si="28"/>
        <v>No</v>
      </c>
      <c r="AA598" t="str">
        <f t="shared" si="29"/>
        <v>2016</v>
      </c>
    </row>
    <row r="599" spans="1:27" x14ac:dyDescent="0.35">
      <c r="A599">
        <v>598</v>
      </c>
      <c r="B599" t="s">
        <v>610</v>
      </c>
      <c r="C599" t="s">
        <v>19</v>
      </c>
      <c r="D599" t="s">
        <v>629</v>
      </c>
      <c r="E599" t="s">
        <v>20</v>
      </c>
      <c r="F599" t="s">
        <v>611</v>
      </c>
      <c r="G599" t="s">
        <v>611</v>
      </c>
      <c r="H599" t="s">
        <v>22</v>
      </c>
      <c r="I599" t="s">
        <v>23</v>
      </c>
      <c r="J599">
        <v>1</v>
      </c>
      <c r="K599" t="s">
        <v>611</v>
      </c>
      <c r="L599">
        <v>34</v>
      </c>
      <c r="M599">
        <v>0</v>
      </c>
      <c r="N599" t="s">
        <v>630</v>
      </c>
      <c r="O599" t="s">
        <v>25</v>
      </c>
      <c r="P599" t="s">
        <v>26</v>
      </c>
      <c r="Q599" t="s">
        <v>41</v>
      </c>
      <c r="U599" t="str">
        <f t="shared" si="27"/>
        <v>Batting First Won</v>
      </c>
      <c r="X599" t="str">
        <f t="shared" si="28"/>
        <v>Yes</v>
      </c>
      <c r="AA599" t="str">
        <f t="shared" si="29"/>
        <v>2016</v>
      </c>
    </row>
    <row r="600" spans="1:27" x14ac:dyDescent="0.35">
      <c r="A600">
        <v>599</v>
      </c>
      <c r="B600" t="s">
        <v>610</v>
      </c>
      <c r="C600" t="s">
        <v>71</v>
      </c>
      <c r="D600" t="s">
        <v>631</v>
      </c>
      <c r="E600" t="s">
        <v>36</v>
      </c>
      <c r="F600" t="s">
        <v>49</v>
      </c>
      <c r="G600" t="s">
        <v>49</v>
      </c>
      <c r="H600" t="s">
        <v>22</v>
      </c>
      <c r="I600" t="s">
        <v>23</v>
      </c>
      <c r="J600">
        <v>0</v>
      </c>
      <c r="K600" t="s">
        <v>36</v>
      </c>
      <c r="L600">
        <v>1</v>
      </c>
      <c r="M600">
        <v>0</v>
      </c>
      <c r="N600" t="s">
        <v>632</v>
      </c>
      <c r="O600" t="s">
        <v>73</v>
      </c>
      <c r="P600" t="s">
        <v>88</v>
      </c>
      <c r="Q600" t="s">
        <v>34</v>
      </c>
      <c r="U600" t="str">
        <f t="shared" si="27"/>
        <v>Batting First Won</v>
      </c>
      <c r="X600" t="str">
        <f t="shared" si="28"/>
        <v>No</v>
      </c>
      <c r="AA600" t="str">
        <f t="shared" si="29"/>
        <v>2016</v>
      </c>
    </row>
    <row r="601" spans="1:27" x14ac:dyDescent="0.35">
      <c r="A601">
        <v>600</v>
      </c>
      <c r="B601" t="s">
        <v>610</v>
      </c>
      <c r="C601" t="s">
        <v>55</v>
      </c>
      <c r="D601" t="s">
        <v>633</v>
      </c>
      <c r="E601" t="s">
        <v>37</v>
      </c>
      <c r="F601" t="s">
        <v>29</v>
      </c>
      <c r="G601" t="s">
        <v>29</v>
      </c>
      <c r="H601" t="s">
        <v>22</v>
      </c>
      <c r="I601" t="s">
        <v>23</v>
      </c>
      <c r="J601">
        <v>0</v>
      </c>
      <c r="K601" t="s">
        <v>29</v>
      </c>
      <c r="L601">
        <v>0</v>
      </c>
      <c r="M601">
        <v>6</v>
      </c>
      <c r="N601" t="s">
        <v>110</v>
      </c>
      <c r="O601" t="s">
        <v>57</v>
      </c>
      <c r="P601" t="s">
        <v>40</v>
      </c>
      <c r="Q601" t="s">
        <v>387</v>
      </c>
      <c r="U601" t="str">
        <f t="shared" si="27"/>
        <v>Chasing Won</v>
      </c>
      <c r="X601" t="str">
        <f t="shared" si="28"/>
        <v>Yes</v>
      </c>
      <c r="AA601" t="str">
        <f t="shared" si="29"/>
        <v>2016</v>
      </c>
    </row>
    <row r="602" spans="1:27" x14ac:dyDescent="0.35">
      <c r="A602">
        <v>601</v>
      </c>
      <c r="B602" t="s">
        <v>610</v>
      </c>
      <c r="C602" t="s">
        <v>28</v>
      </c>
      <c r="D602" t="s">
        <v>634</v>
      </c>
      <c r="E602" t="s">
        <v>611</v>
      </c>
      <c r="F602" t="s">
        <v>36</v>
      </c>
      <c r="G602" t="s">
        <v>36</v>
      </c>
      <c r="H602" t="s">
        <v>22</v>
      </c>
      <c r="I602" t="s">
        <v>23</v>
      </c>
      <c r="J602">
        <v>0</v>
      </c>
      <c r="K602" t="s">
        <v>36</v>
      </c>
      <c r="L602">
        <v>0</v>
      </c>
      <c r="M602">
        <v>3</v>
      </c>
      <c r="N602" t="s">
        <v>116</v>
      </c>
      <c r="O602" t="s">
        <v>32</v>
      </c>
      <c r="P602" t="s">
        <v>85</v>
      </c>
      <c r="Q602" t="s">
        <v>436</v>
      </c>
      <c r="U602" t="str">
        <f t="shared" si="27"/>
        <v>Chasing Won</v>
      </c>
      <c r="X602" t="str">
        <f t="shared" si="28"/>
        <v>Yes</v>
      </c>
      <c r="AA602" t="str">
        <f t="shared" si="29"/>
        <v>2016</v>
      </c>
    </row>
    <row r="603" spans="1:27" x14ac:dyDescent="0.35">
      <c r="A603">
        <v>602</v>
      </c>
      <c r="B603" t="s">
        <v>610</v>
      </c>
      <c r="C603" t="s">
        <v>71</v>
      </c>
      <c r="D603" t="s">
        <v>635</v>
      </c>
      <c r="E603" t="s">
        <v>49</v>
      </c>
      <c r="F603" t="s">
        <v>37</v>
      </c>
      <c r="G603" t="s">
        <v>37</v>
      </c>
      <c r="H603" t="s">
        <v>22</v>
      </c>
      <c r="I603" t="s">
        <v>23</v>
      </c>
      <c r="J603">
        <v>0</v>
      </c>
      <c r="K603" t="s">
        <v>49</v>
      </c>
      <c r="L603">
        <v>27</v>
      </c>
      <c r="M603">
        <v>0</v>
      </c>
      <c r="N603" t="s">
        <v>636</v>
      </c>
      <c r="O603" t="s">
        <v>73</v>
      </c>
      <c r="P603" t="s">
        <v>67</v>
      </c>
      <c r="Q603" t="s">
        <v>88</v>
      </c>
      <c r="U603" t="str">
        <f t="shared" si="27"/>
        <v>Batting First Won</v>
      </c>
      <c r="X603" t="str">
        <f t="shared" si="28"/>
        <v>No</v>
      </c>
      <c r="AA603" t="str">
        <f t="shared" si="29"/>
        <v>2016</v>
      </c>
    </row>
    <row r="604" spans="1:27" x14ac:dyDescent="0.35">
      <c r="A604">
        <v>603</v>
      </c>
      <c r="B604" t="s">
        <v>610</v>
      </c>
      <c r="C604" t="s">
        <v>19</v>
      </c>
      <c r="D604" t="s">
        <v>635</v>
      </c>
      <c r="E604" t="s">
        <v>20</v>
      </c>
      <c r="F604" t="s">
        <v>21</v>
      </c>
      <c r="G604" t="s">
        <v>21</v>
      </c>
      <c r="H604" t="s">
        <v>22</v>
      </c>
      <c r="I604" t="s">
        <v>23</v>
      </c>
      <c r="J604">
        <v>0</v>
      </c>
      <c r="K604" t="s">
        <v>20</v>
      </c>
      <c r="L604">
        <v>15</v>
      </c>
      <c r="M604">
        <v>0</v>
      </c>
      <c r="N604" t="s">
        <v>109</v>
      </c>
      <c r="O604" t="s">
        <v>25</v>
      </c>
      <c r="P604" t="s">
        <v>46</v>
      </c>
      <c r="Q604" t="s">
        <v>256</v>
      </c>
      <c r="U604" t="str">
        <f t="shared" si="27"/>
        <v>Batting First Won</v>
      </c>
      <c r="X604" t="str">
        <f t="shared" si="28"/>
        <v>No</v>
      </c>
      <c r="AA604" t="str">
        <f t="shared" si="29"/>
        <v>2016</v>
      </c>
    </row>
    <row r="605" spans="1:27" x14ac:dyDescent="0.35">
      <c r="A605">
        <v>604</v>
      </c>
      <c r="B605" t="s">
        <v>610</v>
      </c>
      <c r="C605" t="s">
        <v>35</v>
      </c>
      <c r="D605" s="1">
        <v>42374</v>
      </c>
      <c r="E605" t="s">
        <v>43</v>
      </c>
      <c r="F605" t="s">
        <v>36</v>
      </c>
      <c r="G605" t="s">
        <v>36</v>
      </c>
      <c r="H605" t="s">
        <v>22</v>
      </c>
      <c r="I605" t="s">
        <v>23</v>
      </c>
      <c r="J605">
        <v>0</v>
      </c>
      <c r="K605" t="s">
        <v>43</v>
      </c>
      <c r="L605">
        <v>23</v>
      </c>
      <c r="M605">
        <v>0</v>
      </c>
      <c r="N605" t="s">
        <v>58</v>
      </c>
      <c r="O605" t="s">
        <v>39</v>
      </c>
      <c r="P605" t="s">
        <v>436</v>
      </c>
      <c r="Q605" t="s">
        <v>82</v>
      </c>
      <c r="U605" t="str">
        <f t="shared" si="27"/>
        <v>Batting First Won</v>
      </c>
      <c r="X605" t="str">
        <f t="shared" si="28"/>
        <v>No</v>
      </c>
      <c r="AA605" t="str">
        <f t="shared" si="29"/>
        <v>2016</v>
      </c>
    </row>
    <row r="606" spans="1:27" x14ac:dyDescent="0.35">
      <c r="A606">
        <v>605</v>
      </c>
      <c r="B606" t="s">
        <v>610</v>
      </c>
      <c r="C606" t="s">
        <v>28</v>
      </c>
      <c r="D606" s="1">
        <v>42374</v>
      </c>
      <c r="E606" t="s">
        <v>611</v>
      </c>
      <c r="F606" t="s">
        <v>29</v>
      </c>
      <c r="G606" t="s">
        <v>29</v>
      </c>
      <c r="H606" t="s">
        <v>22</v>
      </c>
      <c r="I606" t="s">
        <v>23</v>
      </c>
      <c r="J606">
        <v>0</v>
      </c>
      <c r="K606" t="s">
        <v>29</v>
      </c>
      <c r="L606">
        <v>0</v>
      </c>
      <c r="M606">
        <v>8</v>
      </c>
      <c r="N606" t="s">
        <v>110</v>
      </c>
      <c r="O606" t="s">
        <v>32</v>
      </c>
      <c r="P606" t="s">
        <v>26</v>
      </c>
      <c r="Q606" t="s">
        <v>387</v>
      </c>
      <c r="U606" t="str">
        <f t="shared" si="27"/>
        <v>Chasing Won</v>
      </c>
      <c r="X606" t="str">
        <f t="shared" si="28"/>
        <v>Yes</v>
      </c>
      <c r="AA606" t="str">
        <f t="shared" si="29"/>
        <v>2016</v>
      </c>
    </row>
    <row r="607" spans="1:27" x14ac:dyDescent="0.35">
      <c r="A607">
        <v>606</v>
      </c>
      <c r="B607" t="s">
        <v>610</v>
      </c>
      <c r="C607" t="s">
        <v>48</v>
      </c>
      <c r="D607" s="1">
        <v>42405</v>
      </c>
      <c r="E607" t="s">
        <v>21</v>
      </c>
      <c r="F607" t="s">
        <v>37</v>
      </c>
      <c r="G607" t="s">
        <v>37</v>
      </c>
      <c r="H607" t="s">
        <v>22</v>
      </c>
      <c r="I607" t="s">
        <v>23</v>
      </c>
      <c r="J607">
        <v>0</v>
      </c>
      <c r="K607" t="s">
        <v>37</v>
      </c>
      <c r="L607">
        <v>0</v>
      </c>
      <c r="M607">
        <v>5</v>
      </c>
      <c r="N607" t="s">
        <v>577</v>
      </c>
      <c r="O607" t="s">
        <v>52</v>
      </c>
      <c r="P607" t="s">
        <v>88</v>
      </c>
      <c r="Q607" t="s">
        <v>34</v>
      </c>
      <c r="U607" t="str">
        <f t="shared" si="27"/>
        <v>Chasing Won</v>
      </c>
      <c r="X607" t="str">
        <f t="shared" si="28"/>
        <v>Yes</v>
      </c>
      <c r="AA607" t="str">
        <f t="shared" si="29"/>
        <v>2016</v>
      </c>
    </row>
    <row r="608" spans="1:27" x14ac:dyDescent="0.35">
      <c r="A608">
        <v>607</v>
      </c>
      <c r="B608" t="s">
        <v>610</v>
      </c>
      <c r="C608" t="s">
        <v>35</v>
      </c>
      <c r="D608" s="1">
        <v>42434</v>
      </c>
      <c r="E608" t="s">
        <v>36</v>
      </c>
      <c r="F608" t="s">
        <v>49</v>
      </c>
      <c r="G608" t="s">
        <v>49</v>
      </c>
      <c r="H608" t="s">
        <v>22</v>
      </c>
      <c r="I608" t="s">
        <v>23</v>
      </c>
      <c r="J608">
        <v>0</v>
      </c>
      <c r="K608" t="s">
        <v>49</v>
      </c>
      <c r="L608">
        <v>0</v>
      </c>
      <c r="M608">
        <v>8</v>
      </c>
      <c r="N608" t="s">
        <v>113</v>
      </c>
      <c r="O608" t="s">
        <v>39</v>
      </c>
      <c r="P608" t="s">
        <v>85</v>
      </c>
      <c r="Q608" t="s">
        <v>436</v>
      </c>
      <c r="U608" t="str">
        <f t="shared" si="27"/>
        <v>Chasing Won</v>
      </c>
      <c r="X608" t="str">
        <f t="shared" si="28"/>
        <v>Yes</v>
      </c>
      <c r="AA608" t="str">
        <f t="shared" si="29"/>
        <v>2016</v>
      </c>
    </row>
    <row r="609" spans="1:27" x14ac:dyDescent="0.35">
      <c r="A609">
        <v>608</v>
      </c>
      <c r="B609" t="s">
        <v>610</v>
      </c>
      <c r="C609" t="s">
        <v>61</v>
      </c>
      <c r="D609" s="1">
        <v>42465</v>
      </c>
      <c r="E609" t="s">
        <v>37</v>
      </c>
      <c r="F609" t="s">
        <v>43</v>
      </c>
      <c r="G609" t="s">
        <v>43</v>
      </c>
      <c r="H609" t="s">
        <v>22</v>
      </c>
      <c r="I609" t="s">
        <v>23</v>
      </c>
      <c r="J609">
        <v>0</v>
      </c>
      <c r="K609" t="s">
        <v>37</v>
      </c>
      <c r="L609">
        <v>7</v>
      </c>
      <c r="M609">
        <v>0</v>
      </c>
      <c r="N609" t="s">
        <v>577</v>
      </c>
      <c r="O609" t="s">
        <v>64</v>
      </c>
      <c r="P609" t="s">
        <v>46</v>
      </c>
      <c r="Q609" t="s">
        <v>256</v>
      </c>
      <c r="U609" t="str">
        <f t="shared" si="27"/>
        <v>Batting First Won</v>
      </c>
      <c r="X609" t="str">
        <f t="shared" si="28"/>
        <v>No</v>
      </c>
      <c r="AA609" t="str">
        <f t="shared" si="29"/>
        <v>2016</v>
      </c>
    </row>
    <row r="610" spans="1:27" x14ac:dyDescent="0.35">
      <c r="A610">
        <v>609</v>
      </c>
      <c r="B610" t="s">
        <v>610</v>
      </c>
      <c r="C610" t="s">
        <v>71</v>
      </c>
      <c r="D610" s="1">
        <v>42495</v>
      </c>
      <c r="E610" t="s">
        <v>49</v>
      </c>
      <c r="F610" t="s">
        <v>611</v>
      </c>
      <c r="G610" t="s">
        <v>611</v>
      </c>
      <c r="H610" t="s">
        <v>22</v>
      </c>
      <c r="I610" t="s">
        <v>23</v>
      </c>
      <c r="J610">
        <v>0</v>
      </c>
      <c r="K610" t="s">
        <v>611</v>
      </c>
      <c r="L610">
        <v>0</v>
      </c>
      <c r="M610">
        <v>7</v>
      </c>
      <c r="N610" t="s">
        <v>428</v>
      </c>
      <c r="O610" t="s">
        <v>73</v>
      </c>
      <c r="P610" t="s">
        <v>47</v>
      </c>
      <c r="Q610" t="s">
        <v>387</v>
      </c>
      <c r="U610" t="str">
        <f t="shared" si="27"/>
        <v>Chasing Won</v>
      </c>
      <c r="X610" t="str">
        <f t="shared" si="28"/>
        <v>Yes</v>
      </c>
      <c r="AA610" t="str">
        <f t="shared" si="29"/>
        <v>2016</v>
      </c>
    </row>
    <row r="611" spans="1:27" x14ac:dyDescent="0.35">
      <c r="A611">
        <v>610</v>
      </c>
      <c r="B611" t="s">
        <v>610</v>
      </c>
      <c r="C611" t="s">
        <v>19</v>
      </c>
      <c r="D611" s="1">
        <v>42526</v>
      </c>
      <c r="E611" t="s">
        <v>36</v>
      </c>
      <c r="F611" t="s">
        <v>20</v>
      </c>
      <c r="G611" t="s">
        <v>20</v>
      </c>
      <c r="H611" t="s">
        <v>22</v>
      </c>
      <c r="I611" t="s">
        <v>23</v>
      </c>
      <c r="J611">
        <v>0</v>
      </c>
      <c r="K611" t="s">
        <v>20</v>
      </c>
      <c r="L611">
        <v>0</v>
      </c>
      <c r="M611">
        <v>5</v>
      </c>
      <c r="N611" t="s">
        <v>79</v>
      </c>
      <c r="O611" t="s">
        <v>25</v>
      </c>
      <c r="P611" t="s">
        <v>88</v>
      </c>
      <c r="Q611" t="s">
        <v>34</v>
      </c>
      <c r="U611" t="str">
        <f t="shared" si="27"/>
        <v>Chasing Won</v>
      </c>
      <c r="X611" t="str">
        <f t="shared" si="28"/>
        <v>Yes</v>
      </c>
      <c r="AA611" t="str">
        <f t="shared" si="29"/>
        <v>2016</v>
      </c>
    </row>
    <row r="612" spans="1:27" x14ac:dyDescent="0.35">
      <c r="A612">
        <v>611</v>
      </c>
      <c r="B612" t="s">
        <v>610</v>
      </c>
      <c r="C612" t="s">
        <v>48</v>
      </c>
      <c r="D612" s="1">
        <v>42556</v>
      </c>
      <c r="E612" t="s">
        <v>611</v>
      </c>
      <c r="F612" t="s">
        <v>21</v>
      </c>
      <c r="G612" t="s">
        <v>21</v>
      </c>
      <c r="H612" t="s">
        <v>22</v>
      </c>
      <c r="I612" t="s">
        <v>23</v>
      </c>
      <c r="J612">
        <v>0</v>
      </c>
      <c r="K612" t="s">
        <v>21</v>
      </c>
      <c r="L612">
        <v>0</v>
      </c>
      <c r="M612">
        <v>7</v>
      </c>
      <c r="N612" t="s">
        <v>396</v>
      </c>
      <c r="O612" t="s">
        <v>52</v>
      </c>
      <c r="P612" t="s">
        <v>85</v>
      </c>
      <c r="Q612" t="s">
        <v>436</v>
      </c>
      <c r="U612" t="str">
        <f t="shared" si="27"/>
        <v>Chasing Won</v>
      </c>
      <c r="X612" t="str">
        <f t="shared" si="28"/>
        <v>Yes</v>
      </c>
      <c r="AA612" t="str">
        <f t="shared" si="29"/>
        <v>2016</v>
      </c>
    </row>
    <row r="613" spans="1:27" x14ac:dyDescent="0.35">
      <c r="A613">
        <v>612</v>
      </c>
      <c r="B613" t="s">
        <v>610</v>
      </c>
      <c r="C613" t="s">
        <v>101</v>
      </c>
      <c r="D613" s="1">
        <v>42556</v>
      </c>
      <c r="E613" t="s">
        <v>43</v>
      </c>
      <c r="F613" t="s">
        <v>49</v>
      </c>
      <c r="G613" t="s">
        <v>49</v>
      </c>
      <c r="H613" t="s">
        <v>22</v>
      </c>
      <c r="I613" t="s">
        <v>23</v>
      </c>
      <c r="J613">
        <v>0</v>
      </c>
      <c r="K613" t="s">
        <v>43</v>
      </c>
      <c r="L613">
        <v>9</v>
      </c>
      <c r="M613">
        <v>0</v>
      </c>
      <c r="N613" t="s">
        <v>637</v>
      </c>
      <c r="O613" t="s">
        <v>102</v>
      </c>
      <c r="P613" t="s">
        <v>256</v>
      </c>
      <c r="Q613" t="s">
        <v>41</v>
      </c>
      <c r="U613" t="str">
        <f t="shared" si="27"/>
        <v>Batting First Won</v>
      </c>
      <c r="X613" t="str">
        <f t="shared" si="28"/>
        <v>No</v>
      </c>
      <c r="AA613" t="str">
        <f t="shared" si="29"/>
        <v>2016</v>
      </c>
    </row>
    <row r="614" spans="1:27" x14ac:dyDescent="0.35">
      <c r="A614">
        <v>613</v>
      </c>
      <c r="B614" t="s">
        <v>610</v>
      </c>
      <c r="C614" t="s">
        <v>429</v>
      </c>
      <c r="D614" s="1">
        <v>42587</v>
      </c>
      <c r="E614" t="s">
        <v>20</v>
      </c>
      <c r="F614" t="s">
        <v>29</v>
      </c>
      <c r="G614" t="s">
        <v>29</v>
      </c>
      <c r="H614" t="s">
        <v>22</v>
      </c>
      <c r="I614" t="s">
        <v>23</v>
      </c>
      <c r="J614">
        <v>0</v>
      </c>
      <c r="K614" t="s">
        <v>20</v>
      </c>
      <c r="L614">
        <v>85</v>
      </c>
      <c r="M614">
        <v>0</v>
      </c>
      <c r="N614" t="s">
        <v>197</v>
      </c>
      <c r="O614" t="s">
        <v>431</v>
      </c>
      <c r="P614" t="s">
        <v>34</v>
      </c>
      <c r="Q614" t="s">
        <v>47</v>
      </c>
      <c r="U614" t="str">
        <f t="shared" si="27"/>
        <v>Batting First Won</v>
      </c>
      <c r="X614" t="str">
        <f t="shared" si="28"/>
        <v>No</v>
      </c>
      <c r="AA614" t="str">
        <f t="shared" si="29"/>
        <v>2016</v>
      </c>
    </row>
    <row r="615" spans="1:27" x14ac:dyDescent="0.35">
      <c r="A615">
        <v>614</v>
      </c>
      <c r="B615" t="s">
        <v>610</v>
      </c>
      <c r="C615" t="s">
        <v>61</v>
      </c>
      <c r="D615" s="1">
        <v>42587</v>
      </c>
      <c r="E615" t="s">
        <v>37</v>
      </c>
      <c r="F615" t="s">
        <v>36</v>
      </c>
      <c r="G615" t="s">
        <v>36</v>
      </c>
      <c r="H615" t="s">
        <v>22</v>
      </c>
      <c r="I615" t="s">
        <v>23</v>
      </c>
      <c r="J615">
        <v>0</v>
      </c>
      <c r="K615" t="s">
        <v>36</v>
      </c>
      <c r="L615">
        <v>0</v>
      </c>
      <c r="M615">
        <v>5</v>
      </c>
      <c r="N615" t="s">
        <v>224</v>
      </c>
      <c r="O615" t="s">
        <v>64</v>
      </c>
      <c r="P615" t="s">
        <v>88</v>
      </c>
      <c r="Q615" t="s">
        <v>387</v>
      </c>
      <c r="U615" t="str">
        <f t="shared" si="27"/>
        <v>Chasing Won</v>
      </c>
      <c r="X615" t="str">
        <f t="shared" si="28"/>
        <v>Yes</v>
      </c>
      <c r="AA615" t="str">
        <f t="shared" si="29"/>
        <v>2016</v>
      </c>
    </row>
    <row r="616" spans="1:27" x14ac:dyDescent="0.35">
      <c r="A616">
        <v>615</v>
      </c>
      <c r="B616" t="s">
        <v>610</v>
      </c>
      <c r="C616" t="s">
        <v>101</v>
      </c>
      <c r="D616" s="1">
        <v>42618</v>
      </c>
      <c r="E616" t="s">
        <v>21</v>
      </c>
      <c r="F616" t="s">
        <v>43</v>
      </c>
      <c r="G616" t="s">
        <v>43</v>
      </c>
      <c r="H616" t="s">
        <v>22</v>
      </c>
      <c r="I616" t="s">
        <v>23</v>
      </c>
      <c r="J616">
        <v>0</v>
      </c>
      <c r="K616" t="s">
        <v>21</v>
      </c>
      <c r="L616">
        <v>1</v>
      </c>
      <c r="M616">
        <v>0</v>
      </c>
      <c r="N616" t="s">
        <v>160</v>
      </c>
      <c r="O616" t="s">
        <v>102</v>
      </c>
      <c r="P616" t="s">
        <v>46</v>
      </c>
      <c r="Q616" t="s">
        <v>256</v>
      </c>
      <c r="U616" t="str">
        <f t="shared" si="27"/>
        <v>Batting First Won</v>
      </c>
      <c r="X616" t="str">
        <f t="shared" si="28"/>
        <v>No</v>
      </c>
      <c r="AA616" t="str">
        <f t="shared" si="29"/>
        <v>2016</v>
      </c>
    </row>
    <row r="617" spans="1:27" x14ac:dyDescent="0.35">
      <c r="A617">
        <v>616</v>
      </c>
      <c r="B617" t="s">
        <v>610</v>
      </c>
      <c r="C617" t="s">
        <v>429</v>
      </c>
      <c r="D617" s="1">
        <v>42648</v>
      </c>
      <c r="E617" t="s">
        <v>20</v>
      </c>
      <c r="F617" t="s">
        <v>611</v>
      </c>
      <c r="G617" t="s">
        <v>20</v>
      </c>
      <c r="H617" t="s">
        <v>50</v>
      </c>
      <c r="I617" t="s">
        <v>23</v>
      </c>
      <c r="J617">
        <v>0</v>
      </c>
      <c r="K617" t="s">
        <v>20</v>
      </c>
      <c r="L617">
        <v>4</v>
      </c>
      <c r="M617">
        <v>0</v>
      </c>
      <c r="N617" t="s">
        <v>638</v>
      </c>
      <c r="O617" t="s">
        <v>431</v>
      </c>
      <c r="P617" t="s">
        <v>85</v>
      </c>
      <c r="Q617" t="s">
        <v>82</v>
      </c>
      <c r="U617" t="str">
        <f t="shared" si="27"/>
        <v>Batting First Won</v>
      </c>
      <c r="X617" t="str">
        <f t="shared" si="28"/>
        <v>Yes</v>
      </c>
      <c r="AA617" t="str">
        <f t="shared" si="29"/>
        <v>2016</v>
      </c>
    </row>
    <row r="618" spans="1:27" x14ac:dyDescent="0.35">
      <c r="A618">
        <v>617</v>
      </c>
      <c r="B618" t="s">
        <v>610</v>
      </c>
      <c r="C618" t="s">
        <v>48</v>
      </c>
      <c r="D618" s="1">
        <v>42679</v>
      </c>
      <c r="E618" t="s">
        <v>21</v>
      </c>
      <c r="F618" t="s">
        <v>29</v>
      </c>
      <c r="G618" t="s">
        <v>29</v>
      </c>
      <c r="H618" t="s">
        <v>22</v>
      </c>
      <c r="I618" t="s">
        <v>23</v>
      </c>
      <c r="J618">
        <v>0</v>
      </c>
      <c r="K618" t="s">
        <v>29</v>
      </c>
      <c r="L618">
        <v>0</v>
      </c>
      <c r="M618">
        <v>6</v>
      </c>
      <c r="N618" t="s">
        <v>106</v>
      </c>
      <c r="O618" t="s">
        <v>52</v>
      </c>
      <c r="P618" t="s">
        <v>26</v>
      </c>
      <c r="Q618" t="s">
        <v>47</v>
      </c>
      <c r="U618" t="str">
        <f t="shared" si="27"/>
        <v>Chasing Won</v>
      </c>
      <c r="X618" t="str">
        <f t="shared" si="28"/>
        <v>Yes</v>
      </c>
      <c r="AA618" t="str">
        <f t="shared" si="29"/>
        <v>2016</v>
      </c>
    </row>
    <row r="619" spans="1:27" x14ac:dyDescent="0.35">
      <c r="A619">
        <v>618</v>
      </c>
      <c r="B619" t="s">
        <v>610</v>
      </c>
      <c r="C619" t="s">
        <v>19</v>
      </c>
      <c r="D619" s="1">
        <v>42709</v>
      </c>
      <c r="E619" t="s">
        <v>20</v>
      </c>
      <c r="F619" t="s">
        <v>49</v>
      </c>
      <c r="G619" t="s">
        <v>49</v>
      </c>
      <c r="H619" t="s">
        <v>22</v>
      </c>
      <c r="I619" t="s">
        <v>23</v>
      </c>
      <c r="J619">
        <v>0</v>
      </c>
      <c r="K619" t="s">
        <v>49</v>
      </c>
      <c r="L619">
        <v>0</v>
      </c>
      <c r="M619">
        <v>7</v>
      </c>
      <c r="N619" t="s">
        <v>632</v>
      </c>
      <c r="O619" t="s">
        <v>25</v>
      </c>
      <c r="P619" t="s">
        <v>622</v>
      </c>
      <c r="Q619" t="s">
        <v>88</v>
      </c>
      <c r="U619" t="str">
        <f t="shared" si="27"/>
        <v>Chasing Won</v>
      </c>
      <c r="X619" t="str">
        <f t="shared" si="28"/>
        <v>Yes</v>
      </c>
      <c r="AA619" t="str">
        <f t="shared" si="29"/>
        <v>2016</v>
      </c>
    </row>
    <row r="620" spans="1:27" x14ac:dyDescent="0.35">
      <c r="A620">
        <v>619</v>
      </c>
      <c r="B620" t="s">
        <v>610</v>
      </c>
      <c r="C620" t="s">
        <v>429</v>
      </c>
      <c r="D620" t="s">
        <v>639</v>
      </c>
      <c r="E620" t="s">
        <v>29</v>
      </c>
      <c r="F620" t="s">
        <v>43</v>
      </c>
      <c r="G620" t="s">
        <v>29</v>
      </c>
      <c r="H620" t="s">
        <v>50</v>
      </c>
      <c r="I620" t="s">
        <v>23</v>
      </c>
      <c r="J620">
        <v>0</v>
      </c>
      <c r="K620" t="s">
        <v>43</v>
      </c>
      <c r="L620">
        <v>0</v>
      </c>
      <c r="M620">
        <v>7</v>
      </c>
      <c r="N620" t="s">
        <v>637</v>
      </c>
      <c r="O620" t="s">
        <v>431</v>
      </c>
      <c r="P620" t="s">
        <v>256</v>
      </c>
      <c r="Q620" t="s">
        <v>41</v>
      </c>
      <c r="U620" t="str">
        <f t="shared" si="27"/>
        <v>Chasing Won</v>
      </c>
      <c r="X620" t="str">
        <f t="shared" si="28"/>
        <v>No</v>
      </c>
      <c r="AA620" t="str">
        <f t="shared" si="29"/>
        <v>2016</v>
      </c>
    </row>
    <row r="621" spans="1:27" x14ac:dyDescent="0.35">
      <c r="A621">
        <v>620</v>
      </c>
      <c r="B621" t="s">
        <v>610</v>
      </c>
      <c r="C621" t="s">
        <v>48</v>
      </c>
      <c r="D621" t="s">
        <v>640</v>
      </c>
      <c r="E621" t="s">
        <v>21</v>
      </c>
      <c r="F621" t="s">
        <v>36</v>
      </c>
      <c r="G621" t="s">
        <v>36</v>
      </c>
      <c r="H621" t="s">
        <v>22</v>
      </c>
      <c r="I621" t="s">
        <v>23</v>
      </c>
      <c r="J621">
        <v>0</v>
      </c>
      <c r="K621" t="s">
        <v>21</v>
      </c>
      <c r="L621">
        <v>144</v>
      </c>
      <c r="M621">
        <v>0</v>
      </c>
      <c r="N621" t="s">
        <v>250</v>
      </c>
      <c r="O621" t="s">
        <v>52</v>
      </c>
      <c r="P621" t="s">
        <v>26</v>
      </c>
      <c r="Q621" t="s">
        <v>82</v>
      </c>
      <c r="U621" t="str">
        <f t="shared" si="27"/>
        <v>Batting First Won</v>
      </c>
      <c r="X621" t="str">
        <f t="shared" si="28"/>
        <v>No</v>
      </c>
      <c r="AA621" t="str">
        <f t="shared" si="29"/>
        <v>2016</v>
      </c>
    </row>
    <row r="622" spans="1:27" x14ac:dyDescent="0.35">
      <c r="A622">
        <v>621</v>
      </c>
      <c r="B622" t="s">
        <v>610</v>
      </c>
      <c r="C622" t="s">
        <v>61</v>
      </c>
      <c r="D622" t="s">
        <v>640</v>
      </c>
      <c r="E622" t="s">
        <v>611</v>
      </c>
      <c r="F622" t="s">
        <v>37</v>
      </c>
      <c r="G622" t="s">
        <v>611</v>
      </c>
      <c r="H622" t="s">
        <v>50</v>
      </c>
      <c r="I622" t="s">
        <v>23</v>
      </c>
      <c r="J622">
        <v>1</v>
      </c>
      <c r="K622" t="s">
        <v>37</v>
      </c>
      <c r="L622">
        <v>0</v>
      </c>
      <c r="M622">
        <v>8</v>
      </c>
      <c r="N622" t="s">
        <v>172</v>
      </c>
      <c r="O622" t="s">
        <v>64</v>
      </c>
      <c r="P622" t="s">
        <v>33</v>
      </c>
      <c r="Q622" t="s">
        <v>436</v>
      </c>
      <c r="U622" t="str">
        <f t="shared" si="27"/>
        <v>Chasing Won</v>
      </c>
      <c r="X622" t="str">
        <f t="shared" si="28"/>
        <v>No</v>
      </c>
      <c r="AA622" t="str">
        <f t="shared" si="29"/>
        <v>2016</v>
      </c>
    </row>
    <row r="623" spans="1:27" x14ac:dyDescent="0.35">
      <c r="A623">
        <v>622</v>
      </c>
      <c r="B623" t="s">
        <v>610</v>
      </c>
      <c r="C623" t="s">
        <v>101</v>
      </c>
      <c r="D623" t="s">
        <v>641</v>
      </c>
      <c r="E623" t="s">
        <v>43</v>
      </c>
      <c r="F623" t="s">
        <v>20</v>
      </c>
      <c r="G623" t="s">
        <v>43</v>
      </c>
      <c r="H623" t="s">
        <v>50</v>
      </c>
      <c r="I623" t="s">
        <v>23</v>
      </c>
      <c r="J623">
        <v>0</v>
      </c>
      <c r="K623" t="s">
        <v>20</v>
      </c>
      <c r="L623">
        <v>0</v>
      </c>
      <c r="M623">
        <v>7</v>
      </c>
      <c r="N623" t="s">
        <v>95</v>
      </c>
      <c r="O623" t="s">
        <v>102</v>
      </c>
      <c r="P623" t="s">
        <v>67</v>
      </c>
      <c r="Q623" t="s">
        <v>88</v>
      </c>
      <c r="U623" t="str">
        <f t="shared" si="27"/>
        <v>Chasing Won</v>
      </c>
      <c r="X623" t="str">
        <f t="shared" si="28"/>
        <v>No</v>
      </c>
      <c r="AA623" t="str">
        <f t="shared" si="29"/>
        <v>2016</v>
      </c>
    </row>
    <row r="624" spans="1:27" x14ac:dyDescent="0.35">
      <c r="A624">
        <v>623</v>
      </c>
      <c r="B624" t="s">
        <v>610</v>
      </c>
      <c r="C624" t="s">
        <v>429</v>
      </c>
      <c r="D624" t="s">
        <v>641</v>
      </c>
      <c r="E624" t="s">
        <v>29</v>
      </c>
      <c r="F624" t="s">
        <v>49</v>
      </c>
      <c r="G624" t="s">
        <v>49</v>
      </c>
      <c r="H624" t="s">
        <v>22</v>
      </c>
      <c r="I624" t="s">
        <v>23</v>
      </c>
      <c r="J624">
        <v>0</v>
      </c>
      <c r="K624" t="s">
        <v>29</v>
      </c>
      <c r="L624">
        <v>80</v>
      </c>
      <c r="M624">
        <v>0</v>
      </c>
      <c r="N624" t="s">
        <v>106</v>
      </c>
      <c r="O624" t="s">
        <v>431</v>
      </c>
      <c r="P624" t="s">
        <v>40</v>
      </c>
      <c r="Q624" t="s">
        <v>41</v>
      </c>
      <c r="U624" t="str">
        <f t="shared" si="27"/>
        <v>Batting First Won</v>
      </c>
      <c r="X624" t="str">
        <f t="shared" si="28"/>
        <v>No</v>
      </c>
      <c r="AA624" t="str">
        <f t="shared" si="29"/>
        <v>2016</v>
      </c>
    </row>
    <row r="625" spans="1:27" x14ac:dyDescent="0.35">
      <c r="A625">
        <v>624</v>
      </c>
      <c r="B625" t="s">
        <v>610</v>
      </c>
      <c r="C625" t="s">
        <v>61</v>
      </c>
      <c r="D625" t="s">
        <v>642</v>
      </c>
      <c r="E625" t="s">
        <v>37</v>
      </c>
      <c r="F625" t="s">
        <v>21</v>
      </c>
      <c r="G625" t="s">
        <v>21</v>
      </c>
      <c r="H625" t="s">
        <v>22</v>
      </c>
      <c r="I625" t="s">
        <v>23</v>
      </c>
      <c r="J625">
        <v>0</v>
      </c>
      <c r="K625" t="s">
        <v>21</v>
      </c>
      <c r="L625">
        <v>0</v>
      </c>
      <c r="M625">
        <v>9</v>
      </c>
      <c r="N625" t="s">
        <v>396</v>
      </c>
      <c r="O625" t="s">
        <v>64</v>
      </c>
      <c r="P625" t="s">
        <v>85</v>
      </c>
      <c r="Q625" t="s">
        <v>33</v>
      </c>
      <c r="U625" t="str">
        <f t="shared" si="27"/>
        <v>Chasing Won</v>
      </c>
      <c r="X625" t="str">
        <f t="shared" si="28"/>
        <v>Yes</v>
      </c>
      <c r="AA625" t="str">
        <f t="shared" si="29"/>
        <v>2016</v>
      </c>
    </row>
    <row r="626" spans="1:27" x14ac:dyDescent="0.35">
      <c r="A626">
        <v>625</v>
      </c>
      <c r="B626" t="s">
        <v>610</v>
      </c>
      <c r="C626" t="s">
        <v>429</v>
      </c>
      <c r="D626" t="s">
        <v>643</v>
      </c>
      <c r="E626" t="s">
        <v>49</v>
      </c>
      <c r="F626" t="s">
        <v>611</v>
      </c>
      <c r="G626" t="s">
        <v>611</v>
      </c>
      <c r="H626" t="s">
        <v>22</v>
      </c>
      <c r="I626" t="s">
        <v>23</v>
      </c>
      <c r="J626">
        <v>1</v>
      </c>
      <c r="K626" t="s">
        <v>611</v>
      </c>
      <c r="L626">
        <v>19</v>
      </c>
      <c r="M626">
        <v>0</v>
      </c>
      <c r="N626" t="s">
        <v>630</v>
      </c>
      <c r="O626" t="s">
        <v>431</v>
      </c>
      <c r="P626" t="s">
        <v>40</v>
      </c>
      <c r="Q626" t="s">
        <v>47</v>
      </c>
      <c r="U626" t="str">
        <f t="shared" si="27"/>
        <v>Batting First Won</v>
      </c>
      <c r="X626" t="str">
        <f t="shared" si="28"/>
        <v>Yes</v>
      </c>
      <c r="AA626" t="str">
        <f t="shared" si="29"/>
        <v>2016</v>
      </c>
    </row>
    <row r="627" spans="1:27" x14ac:dyDescent="0.35">
      <c r="A627">
        <v>626</v>
      </c>
      <c r="B627" t="s">
        <v>610</v>
      </c>
      <c r="C627" t="s">
        <v>48</v>
      </c>
      <c r="D627" t="s">
        <v>644</v>
      </c>
      <c r="E627" t="s">
        <v>21</v>
      </c>
      <c r="F627" t="s">
        <v>43</v>
      </c>
      <c r="G627" t="s">
        <v>43</v>
      </c>
      <c r="H627" t="s">
        <v>22</v>
      </c>
      <c r="I627" t="s">
        <v>23</v>
      </c>
      <c r="J627">
        <v>1</v>
      </c>
      <c r="K627" t="s">
        <v>21</v>
      </c>
      <c r="L627">
        <v>82</v>
      </c>
      <c r="M627">
        <v>0</v>
      </c>
      <c r="N627" t="s">
        <v>396</v>
      </c>
      <c r="O627" t="s">
        <v>52</v>
      </c>
      <c r="P627" t="s">
        <v>67</v>
      </c>
      <c r="Q627" t="s">
        <v>88</v>
      </c>
      <c r="U627" t="str">
        <f t="shared" si="27"/>
        <v>Batting First Won</v>
      </c>
      <c r="X627" t="str">
        <f t="shared" si="28"/>
        <v>No</v>
      </c>
      <c r="AA627" t="str">
        <f t="shared" si="29"/>
        <v>2016</v>
      </c>
    </row>
    <row r="628" spans="1:27" x14ac:dyDescent="0.35">
      <c r="A628">
        <v>627</v>
      </c>
      <c r="B628" t="s">
        <v>610</v>
      </c>
      <c r="C628" t="s">
        <v>119</v>
      </c>
      <c r="D628" t="s">
        <v>645</v>
      </c>
      <c r="E628" t="s">
        <v>37</v>
      </c>
      <c r="F628" t="s">
        <v>36</v>
      </c>
      <c r="G628" t="s">
        <v>36</v>
      </c>
      <c r="H628" t="s">
        <v>22</v>
      </c>
      <c r="I628" t="s">
        <v>23</v>
      </c>
      <c r="J628">
        <v>0</v>
      </c>
      <c r="K628" t="s">
        <v>36</v>
      </c>
      <c r="L628">
        <v>0</v>
      </c>
      <c r="M628">
        <v>6</v>
      </c>
      <c r="N628" t="s">
        <v>116</v>
      </c>
      <c r="O628" t="s">
        <v>121</v>
      </c>
      <c r="P628" t="s">
        <v>46</v>
      </c>
      <c r="Q628" t="s">
        <v>41</v>
      </c>
      <c r="U628" t="str">
        <f t="shared" si="27"/>
        <v>Chasing Won</v>
      </c>
      <c r="X628" t="str">
        <f t="shared" si="28"/>
        <v>Yes</v>
      </c>
      <c r="AA628" t="str">
        <f t="shared" si="29"/>
        <v>2016</v>
      </c>
    </row>
    <row r="629" spans="1:27" x14ac:dyDescent="0.35">
      <c r="A629">
        <v>628</v>
      </c>
      <c r="B629" t="s">
        <v>610</v>
      </c>
      <c r="C629" t="s">
        <v>507</v>
      </c>
      <c r="D629" t="s">
        <v>646</v>
      </c>
      <c r="E629" t="s">
        <v>20</v>
      </c>
      <c r="F629" t="s">
        <v>49</v>
      </c>
      <c r="G629" t="s">
        <v>49</v>
      </c>
      <c r="H629" t="s">
        <v>22</v>
      </c>
      <c r="I629" t="s">
        <v>23</v>
      </c>
      <c r="J629">
        <v>0</v>
      </c>
      <c r="K629" t="s">
        <v>49</v>
      </c>
      <c r="L629">
        <v>0</v>
      </c>
      <c r="M629">
        <v>6</v>
      </c>
      <c r="N629" t="s">
        <v>123</v>
      </c>
      <c r="O629" t="s">
        <v>508</v>
      </c>
      <c r="P629" t="s">
        <v>33</v>
      </c>
      <c r="Q629" t="s">
        <v>436</v>
      </c>
      <c r="U629" t="str">
        <f t="shared" si="27"/>
        <v>Chasing Won</v>
      </c>
      <c r="X629" t="str">
        <f t="shared" si="28"/>
        <v>Yes</v>
      </c>
      <c r="AA629" t="str">
        <f t="shared" si="29"/>
        <v>2016</v>
      </c>
    </row>
    <row r="630" spans="1:27" x14ac:dyDescent="0.35">
      <c r="A630">
        <v>629</v>
      </c>
      <c r="B630" t="s">
        <v>610</v>
      </c>
      <c r="C630" t="s">
        <v>429</v>
      </c>
      <c r="D630" t="s">
        <v>647</v>
      </c>
      <c r="E630" t="s">
        <v>43</v>
      </c>
      <c r="F630" t="s">
        <v>611</v>
      </c>
      <c r="G630" t="s">
        <v>43</v>
      </c>
      <c r="H630" t="s">
        <v>50</v>
      </c>
      <c r="I630" t="s">
        <v>23</v>
      </c>
      <c r="J630">
        <v>0</v>
      </c>
      <c r="K630" t="s">
        <v>611</v>
      </c>
      <c r="L630">
        <v>0</v>
      </c>
      <c r="M630">
        <v>4</v>
      </c>
      <c r="N630" t="s">
        <v>93</v>
      </c>
      <c r="O630" t="s">
        <v>431</v>
      </c>
      <c r="P630" t="s">
        <v>256</v>
      </c>
      <c r="Q630" t="s">
        <v>40</v>
      </c>
      <c r="U630" t="str">
        <f t="shared" si="27"/>
        <v>Chasing Won</v>
      </c>
      <c r="X630" t="str">
        <f t="shared" si="28"/>
        <v>No</v>
      </c>
      <c r="AA630" t="str">
        <f t="shared" si="29"/>
        <v>2016</v>
      </c>
    </row>
    <row r="631" spans="1:27" x14ac:dyDescent="0.35">
      <c r="A631">
        <v>630</v>
      </c>
      <c r="B631" t="s">
        <v>610</v>
      </c>
      <c r="C631" t="s">
        <v>119</v>
      </c>
      <c r="D631" t="s">
        <v>647</v>
      </c>
      <c r="E631" t="s">
        <v>29</v>
      </c>
      <c r="F631" t="s">
        <v>36</v>
      </c>
      <c r="G631" t="s">
        <v>36</v>
      </c>
      <c r="H631" t="s">
        <v>22</v>
      </c>
      <c r="I631" t="s">
        <v>23</v>
      </c>
      <c r="J631">
        <v>0</v>
      </c>
      <c r="K631" t="s">
        <v>36</v>
      </c>
      <c r="L631">
        <v>0</v>
      </c>
      <c r="M631">
        <v>6</v>
      </c>
      <c r="N631" t="s">
        <v>90</v>
      </c>
      <c r="O631" t="s">
        <v>121</v>
      </c>
      <c r="P631" t="s">
        <v>46</v>
      </c>
      <c r="Q631" t="s">
        <v>41</v>
      </c>
      <c r="U631" t="str">
        <f t="shared" si="27"/>
        <v>Chasing Won</v>
      </c>
      <c r="X631" t="str">
        <f t="shared" si="28"/>
        <v>Yes</v>
      </c>
      <c r="AA631" t="str">
        <f t="shared" si="29"/>
        <v>2016</v>
      </c>
    </row>
    <row r="632" spans="1:27" x14ac:dyDescent="0.35">
      <c r="A632">
        <v>631</v>
      </c>
      <c r="B632" t="s">
        <v>610</v>
      </c>
      <c r="C632" t="s">
        <v>61</v>
      </c>
      <c r="D632" t="s">
        <v>648</v>
      </c>
      <c r="E632" t="s">
        <v>37</v>
      </c>
      <c r="F632" t="s">
        <v>20</v>
      </c>
      <c r="G632" t="s">
        <v>20</v>
      </c>
      <c r="H632" t="s">
        <v>22</v>
      </c>
      <c r="I632" t="s">
        <v>23</v>
      </c>
      <c r="J632">
        <v>0</v>
      </c>
      <c r="K632" t="s">
        <v>37</v>
      </c>
      <c r="L632">
        <v>22</v>
      </c>
      <c r="M632">
        <v>0</v>
      </c>
      <c r="N632" t="s">
        <v>172</v>
      </c>
      <c r="O632" t="s">
        <v>64</v>
      </c>
      <c r="P632" t="s">
        <v>67</v>
      </c>
      <c r="Q632" t="s">
        <v>88</v>
      </c>
      <c r="U632" t="str">
        <f t="shared" si="27"/>
        <v>Batting First Won</v>
      </c>
      <c r="X632" t="str">
        <f t="shared" si="28"/>
        <v>No</v>
      </c>
      <c r="AA632" t="str">
        <f t="shared" si="29"/>
        <v>2016</v>
      </c>
    </row>
    <row r="633" spans="1:27" x14ac:dyDescent="0.35">
      <c r="A633">
        <v>632</v>
      </c>
      <c r="B633" t="s">
        <v>610</v>
      </c>
      <c r="C633" t="s">
        <v>507</v>
      </c>
      <c r="D633" t="s">
        <v>648</v>
      </c>
      <c r="E633" t="s">
        <v>49</v>
      </c>
      <c r="F633" t="s">
        <v>21</v>
      </c>
      <c r="G633" t="s">
        <v>21</v>
      </c>
      <c r="H633" t="s">
        <v>22</v>
      </c>
      <c r="I633" t="s">
        <v>23</v>
      </c>
      <c r="J633">
        <v>0</v>
      </c>
      <c r="K633" t="s">
        <v>21</v>
      </c>
      <c r="L633">
        <v>0</v>
      </c>
      <c r="M633">
        <v>6</v>
      </c>
      <c r="N633" t="s">
        <v>396</v>
      </c>
      <c r="O633" t="s">
        <v>508</v>
      </c>
      <c r="P633" t="s">
        <v>33</v>
      </c>
      <c r="Q633" t="s">
        <v>436</v>
      </c>
      <c r="U633" t="str">
        <f t="shared" si="27"/>
        <v>Chasing Won</v>
      </c>
      <c r="X633" t="str">
        <f t="shared" si="28"/>
        <v>Yes</v>
      </c>
      <c r="AA633" t="str">
        <f t="shared" si="29"/>
        <v>2016</v>
      </c>
    </row>
    <row r="634" spans="1:27" x14ac:dyDescent="0.35">
      <c r="A634">
        <v>633</v>
      </c>
      <c r="B634" t="s">
        <v>610</v>
      </c>
      <c r="C634" t="s">
        <v>48</v>
      </c>
      <c r="D634" t="s">
        <v>649</v>
      </c>
      <c r="E634" t="s">
        <v>36</v>
      </c>
      <c r="F634" t="s">
        <v>21</v>
      </c>
      <c r="G634" t="s">
        <v>21</v>
      </c>
      <c r="H634" t="s">
        <v>22</v>
      </c>
      <c r="I634" t="s">
        <v>23</v>
      </c>
      <c r="J634">
        <v>0</v>
      </c>
      <c r="K634" t="s">
        <v>21</v>
      </c>
      <c r="L634">
        <v>0</v>
      </c>
      <c r="M634">
        <v>4</v>
      </c>
      <c r="N634" t="s">
        <v>250</v>
      </c>
      <c r="O634" t="s">
        <v>52</v>
      </c>
      <c r="P634" t="s">
        <v>46</v>
      </c>
      <c r="Q634" t="s">
        <v>256</v>
      </c>
      <c r="U634" t="str">
        <f t="shared" si="27"/>
        <v>Chasing Won</v>
      </c>
      <c r="X634" t="str">
        <f t="shared" si="28"/>
        <v>Yes</v>
      </c>
      <c r="AA634" t="str">
        <f t="shared" si="29"/>
        <v>2016</v>
      </c>
    </row>
    <row r="635" spans="1:27" x14ac:dyDescent="0.35">
      <c r="A635">
        <v>634</v>
      </c>
      <c r="B635" t="s">
        <v>610</v>
      </c>
      <c r="C635" t="s">
        <v>71</v>
      </c>
      <c r="D635" t="s">
        <v>650</v>
      </c>
      <c r="E635" t="s">
        <v>20</v>
      </c>
      <c r="F635" t="s">
        <v>37</v>
      </c>
      <c r="G635" t="s">
        <v>37</v>
      </c>
      <c r="H635" t="s">
        <v>22</v>
      </c>
      <c r="I635" t="s">
        <v>23</v>
      </c>
      <c r="J635">
        <v>0</v>
      </c>
      <c r="K635" t="s">
        <v>20</v>
      </c>
      <c r="L635">
        <v>22</v>
      </c>
      <c r="M635">
        <v>0</v>
      </c>
      <c r="N635" t="s">
        <v>599</v>
      </c>
      <c r="O635" t="s">
        <v>73</v>
      </c>
      <c r="P635" t="s">
        <v>88</v>
      </c>
      <c r="Q635" t="s">
        <v>47</v>
      </c>
      <c r="U635" t="str">
        <f t="shared" si="27"/>
        <v>Batting First Won</v>
      </c>
      <c r="X635" t="str">
        <f t="shared" si="28"/>
        <v>No</v>
      </c>
      <c r="AA635" t="str">
        <f t="shared" si="29"/>
        <v>2016</v>
      </c>
    </row>
    <row r="636" spans="1:27" x14ac:dyDescent="0.35">
      <c r="A636">
        <v>635</v>
      </c>
      <c r="B636" t="s">
        <v>610</v>
      </c>
      <c r="C636" t="s">
        <v>71</v>
      </c>
      <c r="D636" t="s">
        <v>651</v>
      </c>
      <c r="E636" t="s">
        <v>36</v>
      </c>
      <c r="F636" t="s">
        <v>20</v>
      </c>
      <c r="G636" t="s">
        <v>20</v>
      </c>
      <c r="H636" t="s">
        <v>22</v>
      </c>
      <c r="I636" t="s">
        <v>23</v>
      </c>
      <c r="J636">
        <v>0</v>
      </c>
      <c r="K636" t="s">
        <v>20</v>
      </c>
      <c r="L636">
        <v>0</v>
      </c>
      <c r="M636">
        <v>4</v>
      </c>
      <c r="N636" t="s">
        <v>109</v>
      </c>
      <c r="O636" t="s">
        <v>73</v>
      </c>
      <c r="P636" t="s">
        <v>88</v>
      </c>
      <c r="Q636" t="s">
        <v>41</v>
      </c>
      <c r="U636" t="str">
        <f t="shared" si="27"/>
        <v>Chasing Won</v>
      </c>
      <c r="X636" t="str">
        <f t="shared" si="28"/>
        <v>Yes</v>
      </c>
      <c r="AA636" t="str">
        <f t="shared" si="29"/>
        <v>2016</v>
      </c>
    </row>
    <row r="637" spans="1:27" x14ac:dyDescent="0.35">
      <c r="A637">
        <v>636</v>
      </c>
      <c r="B637" t="s">
        <v>610</v>
      </c>
      <c r="C637" t="s">
        <v>48</v>
      </c>
      <c r="D637" t="s">
        <v>652</v>
      </c>
      <c r="E637" t="s">
        <v>20</v>
      </c>
      <c r="F637" t="s">
        <v>21</v>
      </c>
      <c r="G637" t="s">
        <v>20</v>
      </c>
      <c r="H637" t="s">
        <v>50</v>
      </c>
      <c r="I637" t="s">
        <v>23</v>
      </c>
      <c r="J637">
        <v>0</v>
      </c>
      <c r="K637" t="s">
        <v>20</v>
      </c>
      <c r="L637">
        <v>8</v>
      </c>
      <c r="M637">
        <v>0</v>
      </c>
      <c r="N637" t="s">
        <v>653</v>
      </c>
      <c r="O637" t="s">
        <v>52</v>
      </c>
      <c r="P637" t="s">
        <v>256</v>
      </c>
      <c r="Q637" t="s">
        <v>436</v>
      </c>
      <c r="U637" t="str">
        <f t="shared" si="27"/>
        <v>Batting First Won</v>
      </c>
      <c r="X637" t="str">
        <f t="shared" si="28"/>
        <v>Yes</v>
      </c>
      <c r="AA637" t="str">
        <f t="shared" si="29"/>
        <v>2016</v>
      </c>
    </row>
    <row r="638" spans="1:27" x14ac:dyDescent="0.35">
      <c r="A638">
        <v>7894</v>
      </c>
      <c r="B638" t="s">
        <v>654</v>
      </c>
      <c r="C638" t="s">
        <v>55</v>
      </c>
      <c r="D638" s="1">
        <v>43285</v>
      </c>
      <c r="E638" t="s">
        <v>29</v>
      </c>
      <c r="F638" t="s">
        <v>141</v>
      </c>
      <c r="G638" t="s">
        <v>141</v>
      </c>
      <c r="H638" t="s">
        <v>22</v>
      </c>
      <c r="I638" t="s">
        <v>23</v>
      </c>
      <c r="J638">
        <v>0</v>
      </c>
      <c r="K638" t="s">
        <v>141</v>
      </c>
      <c r="L638">
        <v>0</v>
      </c>
      <c r="M638">
        <v>1</v>
      </c>
      <c r="N638" t="s">
        <v>213</v>
      </c>
      <c r="O638" t="s">
        <v>57</v>
      </c>
      <c r="P638" t="s">
        <v>655</v>
      </c>
      <c r="Q638" t="s">
        <v>656</v>
      </c>
      <c r="R638" t="s">
        <v>657</v>
      </c>
      <c r="U638" t="str">
        <f t="shared" si="27"/>
        <v>Chasing Won</v>
      </c>
      <c r="X638" t="str">
        <f t="shared" si="28"/>
        <v>Yes</v>
      </c>
      <c r="AA638" t="str">
        <f t="shared" si="29"/>
        <v>2018</v>
      </c>
    </row>
    <row r="639" spans="1:27" x14ac:dyDescent="0.35">
      <c r="A639">
        <v>7895</v>
      </c>
      <c r="B639" t="s">
        <v>654</v>
      </c>
      <c r="C639" t="s">
        <v>658</v>
      </c>
      <c r="D639" s="1">
        <v>43316</v>
      </c>
      <c r="E639" t="s">
        <v>49</v>
      </c>
      <c r="F639" t="s">
        <v>43</v>
      </c>
      <c r="G639" t="s">
        <v>43</v>
      </c>
      <c r="H639" t="s">
        <v>22</v>
      </c>
      <c r="I639" t="s">
        <v>23</v>
      </c>
      <c r="J639">
        <v>0</v>
      </c>
      <c r="K639" t="s">
        <v>43</v>
      </c>
      <c r="L639">
        <v>0</v>
      </c>
      <c r="M639">
        <v>6</v>
      </c>
      <c r="N639" t="s">
        <v>659</v>
      </c>
      <c r="O639" t="s">
        <v>102</v>
      </c>
      <c r="P639" t="s">
        <v>660</v>
      </c>
      <c r="Q639" t="s">
        <v>661</v>
      </c>
      <c r="R639" t="s">
        <v>40</v>
      </c>
      <c r="U639" t="str">
        <f t="shared" si="27"/>
        <v>Chasing Won</v>
      </c>
      <c r="X639" t="str">
        <f t="shared" si="28"/>
        <v>Yes</v>
      </c>
      <c r="AA639" t="str">
        <f t="shared" si="29"/>
        <v>2018</v>
      </c>
    </row>
    <row r="640" spans="1:27" x14ac:dyDescent="0.35">
      <c r="A640">
        <v>7896</v>
      </c>
      <c r="B640" t="s">
        <v>654</v>
      </c>
      <c r="C640" t="s">
        <v>61</v>
      </c>
      <c r="D640" s="1">
        <v>43316</v>
      </c>
      <c r="E640" t="s">
        <v>21</v>
      </c>
      <c r="F640" t="s">
        <v>37</v>
      </c>
      <c r="G640" t="s">
        <v>37</v>
      </c>
      <c r="H640" t="s">
        <v>22</v>
      </c>
      <c r="I640" t="s">
        <v>23</v>
      </c>
      <c r="J640">
        <v>0</v>
      </c>
      <c r="K640" t="s">
        <v>37</v>
      </c>
      <c r="L640">
        <v>0</v>
      </c>
      <c r="M640">
        <v>4</v>
      </c>
      <c r="N640" t="s">
        <v>63</v>
      </c>
      <c r="O640" t="s">
        <v>64</v>
      </c>
      <c r="P640" t="s">
        <v>47</v>
      </c>
      <c r="Q640" t="s">
        <v>662</v>
      </c>
      <c r="R640" t="s">
        <v>34</v>
      </c>
      <c r="U640" t="str">
        <f t="shared" si="27"/>
        <v>Chasing Won</v>
      </c>
      <c r="X640" t="str">
        <f t="shared" si="28"/>
        <v>Yes</v>
      </c>
      <c r="AA640" t="str">
        <f t="shared" si="29"/>
        <v>2018</v>
      </c>
    </row>
    <row r="641" spans="1:27" x14ac:dyDescent="0.35">
      <c r="A641">
        <v>7897</v>
      </c>
      <c r="B641" t="s">
        <v>654</v>
      </c>
      <c r="C641" t="s">
        <v>19</v>
      </c>
      <c r="D641" s="1">
        <v>43347</v>
      </c>
      <c r="E641" t="s">
        <v>146</v>
      </c>
      <c r="F641" t="s">
        <v>20</v>
      </c>
      <c r="G641" t="s">
        <v>20</v>
      </c>
      <c r="H641" t="s">
        <v>22</v>
      </c>
      <c r="I641" t="s">
        <v>23</v>
      </c>
      <c r="J641">
        <v>0</v>
      </c>
      <c r="K641" t="s">
        <v>20</v>
      </c>
      <c r="L641">
        <v>0</v>
      </c>
      <c r="M641">
        <v>9</v>
      </c>
      <c r="N641" t="s">
        <v>117</v>
      </c>
      <c r="O641" t="s">
        <v>25</v>
      </c>
      <c r="P641" t="s">
        <v>663</v>
      </c>
      <c r="Q641" t="s">
        <v>664</v>
      </c>
      <c r="R641" t="s">
        <v>665</v>
      </c>
      <c r="U641" t="str">
        <f t="shared" si="27"/>
        <v>Chasing Won</v>
      </c>
      <c r="X641" t="str">
        <f t="shared" si="28"/>
        <v>Yes</v>
      </c>
      <c r="AA641" t="str">
        <f t="shared" si="29"/>
        <v>2018</v>
      </c>
    </row>
    <row r="642" spans="1:27" x14ac:dyDescent="0.35">
      <c r="A642">
        <v>7898</v>
      </c>
      <c r="B642" t="s">
        <v>654</v>
      </c>
      <c r="C642" t="s">
        <v>167</v>
      </c>
      <c r="D642" s="1">
        <v>43377</v>
      </c>
      <c r="E642" t="s">
        <v>37</v>
      </c>
      <c r="F642" t="s">
        <v>141</v>
      </c>
      <c r="G642" t="s">
        <v>141</v>
      </c>
      <c r="H642" t="s">
        <v>22</v>
      </c>
      <c r="I642" t="s">
        <v>23</v>
      </c>
      <c r="J642">
        <v>0</v>
      </c>
      <c r="K642" t="s">
        <v>141</v>
      </c>
      <c r="L642">
        <v>0</v>
      </c>
      <c r="M642">
        <v>5</v>
      </c>
      <c r="N642" t="s">
        <v>666</v>
      </c>
      <c r="O642" t="s">
        <v>170</v>
      </c>
      <c r="P642" t="s">
        <v>657</v>
      </c>
      <c r="Q642" t="s">
        <v>655</v>
      </c>
      <c r="R642" t="s">
        <v>656</v>
      </c>
      <c r="U642" t="str">
        <f t="shared" si="27"/>
        <v>Chasing Won</v>
      </c>
      <c r="X642" t="str">
        <f t="shared" si="28"/>
        <v>Yes</v>
      </c>
      <c r="AA642" t="str">
        <f t="shared" si="29"/>
        <v>2018</v>
      </c>
    </row>
    <row r="643" spans="1:27" x14ac:dyDescent="0.35">
      <c r="A643">
        <v>7899</v>
      </c>
      <c r="B643" t="s">
        <v>654</v>
      </c>
      <c r="C643" t="s">
        <v>158</v>
      </c>
      <c r="D643" s="1">
        <v>43408</v>
      </c>
      <c r="E643" t="s">
        <v>146</v>
      </c>
      <c r="F643" t="s">
        <v>49</v>
      </c>
      <c r="G643" t="s">
        <v>49</v>
      </c>
      <c r="H643" t="s">
        <v>22</v>
      </c>
      <c r="I643" t="s">
        <v>23</v>
      </c>
      <c r="J643">
        <v>1</v>
      </c>
      <c r="K643" t="s">
        <v>146</v>
      </c>
      <c r="L643">
        <v>10</v>
      </c>
      <c r="M643">
        <v>0</v>
      </c>
      <c r="N643" t="s">
        <v>59</v>
      </c>
      <c r="O643" t="s">
        <v>161</v>
      </c>
      <c r="P643" t="s">
        <v>661</v>
      </c>
      <c r="Q643" t="s">
        <v>660</v>
      </c>
      <c r="R643" t="s">
        <v>40</v>
      </c>
      <c r="U643" t="str">
        <f t="shared" ref="U643:U706" si="30">IF(L643&gt;0,"Batting First Won","Chasing Won")</f>
        <v>Batting First Won</v>
      </c>
      <c r="X643" t="str">
        <f t="shared" ref="X643:X706" si="31">IF(G643=K643,"Yes","No")</f>
        <v>No</v>
      </c>
      <c r="AA643" t="str">
        <f t="shared" ref="AA643:AA706" si="32">RIGHT(B643,4)</f>
        <v>2018</v>
      </c>
    </row>
    <row r="644" spans="1:27" x14ac:dyDescent="0.35">
      <c r="A644">
        <v>7900</v>
      </c>
      <c r="B644" t="s">
        <v>654</v>
      </c>
      <c r="C644" t="s">
        <v>19</v>
      </c>
      <c r="D644" s="1">
        <v>43438</v>
      </c>
      <c r="E644" t="s">
        <v>29</v>
      </c>
      <c r="F644" t="s">
        <v>20</v>
      </c>
      <c r="G644" t="s">
        <v>20</v>
      </c>
      <c r="H644" t="s">
        <v>22</v>
      </c>
      <c r="I644" t="s">
        <v>23</v>
      </c>
      <c r="J644">
        <v>0</v>
      </c>
      <c r="K644" t="s">
        <v>20</v>
      </c>
      <c r="L644">
        <v>0</v>
      </c>
      <c r="M644">
        <v>1</v>
      </c>
      <c r="N644" t="s">
        <v>53</v>
      </c>
      <c r="O644" t="s">
        <v>25</v>
      </c>
      <c r="P644" t="s">
        <v>665</v>
      </c>
      <c r="Q644" t="s">
        <v>663</v>
      </c>
      <c r="R644" t="s">
        <v>664</v>
      </c>
      <c r="U644" t="str">
        <f t="shared" si="30"/>
        <v>Chasing Won</v>
      </c>
      <c r="X644" t="str">
        <f t="shared" si="31"/>
        <v>Yes</v>
      </c>
      <c r="AA644" t="str">
        <f t="shared" si="32"/>
        <v>2018</v>
      </c>
    </row>
    <row r="645" spans="1:27" x14ac:dyDescent="0.35">
      <c r="A645">
        <v>7901</v>
      </c>
      <c r="B645" t="s">
        <v>654</v>
      </c>
      <c r="C645" t="s">
        <v>667</v>
      </c>
      <c r="D645" t="s">
        <v>668</v>
      </c>
      <c r="E645" t="s">
        <v>43</v>
      </c>
      <c r="F645" t="s">
        <v>21</v>
      </c>
      <c r="G645" t="s">
        <v>21</v>
      </c>
      <c r="H645" t="s">
        <v>22</v>
      </c>
      <c r="I645" t="s">
        <v>23</v>
      </c>
      <c r="J645">
        <v>0</v>
      </c>
      <c r="K645" t="s">
        <v>21</v>
      </c>
      <c r="L645">
        <v>0</v>
      </c>
      <c r="M645">
        <v>4</v>
      </c>
      <c r="N645" t="s">
        <v>470</v>
      </c>
      <c r="O645" t="s">
        <v>52</v>
      </c>
      <c r="P645" t="s">
        <v>34</v>
      </c>
      <c r="Q645" t="s">
        <v>662</v>
      </c>
      <c r="R645" t="s">
        <v>47</v>
      </c>
      <c r="U645" t="str">
        <f t="shared" si="30"/>
        <v>Chasing Won</v>
      </c>
      <c r="X645" t="str">
        <f t="shared" si="31"/>
        <v>Yes</v>
      </c>
      <c r="AA645" t="str">
        <f t="shared" si="32"/>
        <v>2018</v>
      </c>
    </row>
    <row r="646" spans="1:27" x14ac:dyDescent="0.35">
      <c r="A646">
        <v>7902</v>
      </c>
      <c r="B646" t="s">
        <v>654</v>
      </c>
      <c r="C646" t="s">
        <v>55</v>
      </c>
      <c r="D646" t="s">
        <v>669</v>
      </c>
      <c r="E646" t="s">
        <v>29</v>
      </c>
      <c r="F646" t="s">
        <v>49</v>
      </c>
      <c r="G646" t="s">
        <v>49</v>
      </c>
      <c r="H646" t="s">
        <v>22</v>
      </c>
      <c r="I646" t="s">
        <v>23</v>
      </c>
      <c r="J646">
        <v>0</v>
      </c>
      <c r="K646" t="s">
        <v>49</v>
      </c>
      <c r="L646">
        <v>0</v>
      </c>
      <c r="M646">
        <v>7</v>
      </c>
      <c r="N646" t="s">
        <v>670</v>
      </c>
      <c r="O646" t="s">
        <v>57</v>
      </c>
      <c r="P646" t="s">
        <v>661</v>
      </c>
      <c r="Q646" t="s">
        <v>40</v>
      </c>
      <c r="R646" t="s">
        <v>660</v>
      </c>
      <c r="U646" t="str">
        <f t="shared" si="30"/>
        <v>Chasing Won</v>
      </c>
      <c r="X646" t="str">
        <f t="shared" si="31"/>
        <v>Yes</v>
      </c>
      <c r="AA646" t="str">
        <f t="shared" si="32"/>
        <v>2018</v>
      </c>
    </row>
    <row r="647" spans="1:27" x14ac:dyDescent="0.35">
      <c r="A647">
        <v>7903</v>
      </c>
      <c r="B647" t="s">
        <v>654</v>
      </c>
      <c r="C647" t="s">
        <v>61</v>
      </c>
      <c r="D647" t="s">
        <v>669</v>
      </c>
      <c r="E647" t="s">
        <v>37</v>
      </c>
      <c r="F647" t="s">
        <v>20</v>
      </c>
      <c r="G647" t="s">
        <v>20</v>
      </c>
      <c r="H647" t="s">
        <v>22</v>
      </c>
      <c r="I647" t="s">
        <v>23</v>
      </c>
      <c r="J647">
        <v>0</v>
      </c>
      <c r="K647" t="s">
        <v>20</v>
      </c>
      <c r="L647">
        <v>0</v>
      </c>
      <c r="M647">
        <v>5</v>
      </c>
      <c r="N647" t="s">
        <v>671</v>
      </c>
      <c r="O647" t="s">
        <v>64</v>
      </c>
      <c r="P647" t="s">
        <v>656</v>
      </c>
      <c r="Q647" t="s">
        <v>657</v>
      </c>
      <c r="R647" t="s">
        <v>655</v>
      </c>
      <c r="U647" t="str">
        <f t="shared" si="30"/>
        <v>Chasing Won</v>
      </c>
      <c r="X647" t="str">
        <f t="shared" si="31"/>
        <v>Yes</v>
      </c>
      <c r="AA647" t="str">
        <f t="shared" si="32"/>
        <v>2018</v>
      </c>
    </row>
    <row r="648" spans="1:27" x14ac:dyDescent="0.35">
      <c r="A648">
        <v>7904</v>
      </c>
      <c r="B648" t="s">
        <v>654</v>
      </c>
      <c r="C648" t="s">
        <v>667</v>
      </c>
      <c r="D648" t="s">
        <v>672</v>
      </c>
      <c r="E648" t="s">
        <v>146</v>
      </c>
      <c r="F648" t="s">
        <v>21</v>
      </c>
      <c r="G648" t="s">
        <v>21</v>
      </c>
      <c r="H648" t="s">
        <v>22</v>
      </c>
      <c r="I648" t="s">
        <v>23</v>
      </c>
      <c r="J648">
        <v>0</v>
      </c>
      <c r="K648" t="s">
        <v>146</v>
      </c>
      <c r="L648">
        <v>19</v>
      </c>
      <c r="M648">
        <v>0</v>
      </c>
      <c r="N648" t="s">
        <v>59</v>
      </c>
      <c r="O648" t="s">
        <v>52</v>
      </c>
      <c r="P648" t="s">
        <v>47</v>
      </c>
      <c r="Q648" t="s">
        <v>34</v>
      </c>
      <c r="R648" t="s">
        <v>662</v>
      </c>
      <c r="U648" t="str">
        <f t="shared" si="30"/>
        <v>Batting First Won</v>
      </c>
      <c r="X648" t="str">
        <f t="shared" si="31"/>
        <v>No</v>
      </c>
      <c r="AA648" t="str">
        <f t="shared" si="32"/>
        <v>2018</v>
      </c>
    </row>
    <row r="649" spans="1:27" x14ac:dyDescent="0.35">
      <c r="A649">
        <v>7905</v>
      </c>
      <c r="B649" t="s">
        <v>654</v>
      </c>
      <c r="C649" t="s">
        <v>658</v>
      </c>
      <c r="D649" t="s">
        <v>672</v>
      </c>
      <c r="E649" t="s">
        <v>43</v>
      </c>
      <c r="F649" t="s">
        <v>141</v>
      </c>
      <c r="G649" t="s">
        <v>141</v>
      </c>
      <c r="H649" t="s">
        <v>22</v>
      </c>
      <c r="I649" t="s">
        <v>23</v>
      </c>
      <c r="J649">
        <v>0</v>
      </c>
      <c r="K649" t="s">
        <v>43</v>
      </c>
      <c r="L649">
        <v>4</v>
      </c>
      <c r="M649">
        <v>0</v>
      </c>
      <c r="N649" t="s">
        <v>81</v>
      </c>
      <c r="O649" t="s">
        <v>102</v>
      </c>
      <c r="P649" t="s">
        <v>664</v>
      </c>
      <c r="Q649" t="s">
        <v>665</v>
      </c>
      <c r="R649" t="s">
        <v>663</v>
      </c>
      <c r="U649" t="str">
        <f t="shared" si="30"/>
        <v>Batting First Won</v>
      </c>
      <c r="X649" t="str">
        <f t="shared" si="31"/>
        <v>No</v>
      </c>
      <c r="AA649" t="str">
        <f t="shared" si="32"/>
        <v>2018</v>
      </c>
    </row>
    <row r="650" spans="1:27" x14ac:dyDescent="0.35">
      <c r="A650">
        <v>7906</v>
      </c>
      <c r="B650" t="s">
        <v>654</v>
      </c>
      <c r="C650" t="s">
        <v>61</v>
      </c>
      <c r="D650" t="s">
        <v>673</v>
      </c>
      <c r="E650" t="s">
        <v>37</v>
      </c>
      <c r="F650" t="s">
        <v>49</v>
      </c>
      <c r="G650" t="s">
        <v>49</v>
      </c>
      <c r="H650" t="s">
        <v>22</v>
      </c>
      <c r="I650" t="s">
        <v>23</v>
      </c>
      <c r="J650">
        <v>0</v>
      </c>
      <c r="K650" t="s">
        <v>37</v>
      </c>
      <c r="L650">
        <v>71</v>
      </c>
      <c r="M650">
        <v>0</v>
      </c>
      <c r="N650" t="s">
        <v>56</v>
      </c>
      <c r="O650" t="s">
        <v>64</v>
      </c>
      <c r="P650" t="s">
        <v>657</v>
      </c>
      <c r="Q650" t="s">
        <v>656</v>
      </c>
      <c r="R650" t="s">
        <v>655</v>
      </c>
      <c r="U650" t="str">
        <f t="shared" si="30"/>
        <v>Batting First Won</v>
      </c>
      <c r="X650" t="str">
        <f t="shared" si="31"/>
        <v>No</v>
      </c>
      <c r="AA650" t="str">
        <f t="shared" si="32"/>
        <v>2018</v>
      </c>
    </row>
    <row r="651" spans="1:27" x14ac:dyDescent="0.35">
      <c r="A651">
        <v>7907</v>
      </c>
      <c r="B651" t="s">
        <v>654</v>
      </c>
      <c r="C651" t="s">
        <v>55</v>
      </c>
      <c r="D651" t="s">
        <v>674</v>
      </c>
      <c r="E651" t="s">
        <v>29</v>
      </c>
      <c r="F651" t="s">
        <v>21</v>
      </c>
      <c r="G651" t="s">
        <v>21</v>
      </c>
      <c r="H651" t="s">
        <v>22</v>
      </c>
      <c r="I651" t="s">
        <v>23</v>
      </c>
      <c r="J651">
        <v>0</v>
      </c>
      <c r="K651" t="s">
        <v>29</v>
      </c>
      <c r="L651">
        <v>46</v>
      </c>
      <c r="M651">
        <v>0</v>
      </c>
      <c r="N651" t="s">
        <v>110</v>
      </c>
      <c r="O651" t="s">
        <v>57</v>
      </c>
      <c r="P651" t="s">
        <v>660</v>
      </c>
      <c r="Q651" t="s">
        <v>40</v>
      </c>
      <c r="R651" t="s">
        <v>661</v>
      </c>
      <c r="U651" t="str">
        <f t="shared" si="30"/>
        <v>Batting First Won</v>
      </c>
      <c r="X651" t="str">
        <f t="shared" si="31"/>
        <v>No</v>
      </c>
      <c r="AA651" t="str">
        <f t="shared" si="32"/>
        <v>2018</v>
      </c>
    </row>
    <row r="652" spans="1:27" x14ac:dyDescent="0.35">
      <c r="A652">
        <v>7908</v>
      </c>
      <c r="B652" t="s">
        <v>654</v>
      </c>
      <c r="C652" t="s">
        <v>158</v>
      </c>
      <c r="D652" t="s">
        <v>675</v>
      </c>
      <c r="E652" t="s">
        <v>146</v>
      </c>
      <c r="F652" t="s">
        <v>37</v>
      </c>
      <c r="G652" t="s">
        <v>37</v>
      </c>
      <c r="H652" t="s">
        <v>22</v>
      </c>
      <c r="I652" t="s">
        <v>23</v>
      </c>
      <c r="J652">
        <v>0</v>
      </c>
      <c r="K652" t="s">
        <v>37</v>
      </c>
      <c r="L652">
        <v>0</v>
      </c>
      <c r="M652">
        <v>7</v>
      </c>
      <c r="N652" t="s">
        <v>56</v>
      </c>
      <c r="O652" t="s">
        <v>161</v>
      </c>
      <c r="P652" t="s">
        <v>34</v>
      </c>
      <c r="Q652" t="s">
        <v>662</v>
      </c>
      <c r="R652" t="s">
        <v>47</v>
      </c>
      <c r="U652" t="str">
        <f t="shared" si="30"/>
        <v>Chasing Won</v>
      </c>
      <c r="X652" t="str">
        <f t="shared" si="31"/>
        <v>Yes</v>
      </c>
      <c r="AA652" t="str">
        <f t="shared" si="32"/>
        <v>2018</v>
      </c>
    </row>
    <row r="653" spans="1:27" x14ac:dyDescent="0.35">
      <c r="A653">
        <v>7909</v>
      </c>
      <c r="B653" t="s">
        <v>654</v>
      </c>
      <c r="C653" t="s">
        <v>658</v>
      </c>
      <c r="D653" t="s">
        <v>676</v>
      </c>
      <c r="E653" t="s">
        <v>43</v>
      </c>
      <c r="F653" t="s">
        <v>20</v>
      </c>
      <c r="G653" t="s">
        <v>43</v>
      </c>
      <c r="H653" t="s">
        <v>50</v>
      </c>
      <c r="I653" t="s">
        <v>23</v>
      </c>
      <c r="J653">
        <v>0</v>
      </c>
      <c r="K653" t="s">
        <v>43</v>
      </c>
      <c r="L653">
        <v>15</v>
      </c>
      <c r="M653">
        <v>0</v>
      </c>
      <c r="N653" t="s">
        <v>81</v>
      </c>
      <c r="O653" t="s">
        <v>102</v>
      </c>
      <c r="P653" t="s">
        <v>663</v>
      </c>
      <c r="Q653" t="s">
        <v>657</v>
      </c>
      <c r="R653" t="s">
        <v>664</v>
      </c>
      <c r="U653" t="str">
        <f t="shared" si="30"/>
        <v>Batting First Won</v>
      </c>
      <c r="X653" t="str">
        <f t="shared" si="31"/>
        <v>Yes</v>
      </c>
      <c r="AA653" t="str">
        <f t="shared" si="32"/>
        <v>2018</v>
      </c>
    </row>
    <row r="654" spans="1:27" x14ac:dyDescent="0.35">
      <c r="A654">
        <v>7910</v>
      </c>
      <c r="B654" t="s">
        <v>654</v>
      </c>
      <c r="C654" t="s">
        <v>28</v>
      </c>
      <c r="D654" t="s">
        <v>677</v>
      </c>
      <c r="E654" t="s">
        <v>141</v>
      </c>
      <c r="F654" t="s">
        <v>146</v>
      </c>
      <c r="G654" t="s">
        <v>146</v>
      </c>
      <c r="H654" t="s">
        <v>22</v>
      </c>
      <c r="I654" t="s">
        <v>23</v>
      </c>
      <c r="J654">
        <v>0</v>
      </c>
      <c r="K654" t="s">
        <v>141</v>
      </c>
      <c r="L654">
        <v>64</v>
      </c>
      <c r="M654">
        <v>0</v>
      </c>
      <c r="N654" t="s">
        <v>160</v>
      </c>
      <c r="O654" t="s">
        <v>32</v>
      </c>
      <c r="P654" t="s">
        <v>40</v>
      </c>
      <c r="Q654" t="s">
        <v>661</v>
      </c>
      <c r="R654" t="s">
        <v>660</v>
      </c>
      <c r="U654" t="str">
        <f t="shared" si="30"/>
        <v>Batting First Won</v>
      </c>
      <c r="X654" t="str">
        <f t="shared" si="31"/>
        <v>No</v>
      </c>
      <c r="AA654" t="str">
        <f t="shared" si="32"/>
        <v>2018</v>
      </c>
    </row>
    <row r="655" spans="1:27" x14ac:dyDescent="0.35">
      <c r="A655">
        <v>7911</v>
      </c>
      <c r="B655" t="s">
        <v>654</v>
      </c>
      <c r="C655" t="s">
        <v>61</v>
      </c>
      <c r="D655" t="s">
        <v>678</v>
      </c>
      <c r="E655" t="s">
        <v>37</v>
      </c>
      <c r="F655" t="s">
        <v>43</v>
      </c>
      <c r="G655" t="s">
        <v>43</v>
      </c>
      <c r="H655" t="s">
        <v>22</v>
      </c>
      <c r="I655" t="s">
        <v>23</v>
      </c>
      <c r="J655">
        <v>1</v>
      </c>
      <c r="K655" t="s">
        <v>43</v>
      </c>
      <c r="L655">
        <v>0</v>
      </c>
      <c r="M655">
        <v>9</v>
      </c>
      <c r="N655" t="s">
        <v>659</v>
      </c>
      <c r="O655" t="s">
        <v>64</v>
      </c>
      <c r="P655" t="s">
        <v>47</v>
      </c>
      <c r="Q655" t="s">
        <v>662</v>
      </c>
      <c r="R655" t="s">
        <v>34</v>
      </c>
      <c r="U655" t="str">
        <f t="shared" si="30"/>
        <v>Chasing Won</v>
      </c>
      <c r="X655" t="str">
        <f t="shared" si="31"/>
        <v>Yes</v>
      </c>
      <c r="AA655" t="str">
        <f t="shared" si="32"/>
        <v>2018</v>
      </c>
    </row>
    <row r="656" spans="1:27" x14ac:dyDescent="0.35">
      <c r="A656">
        <v>7912</v>
      </c>
      <c r="B656" t="s">
        <v>654</v>
      </c>
      <c r="C656" t="s">
        <v>667</v>
      </c>
      <c r="D656" t="s">
        <v>678</v>
      </c>
      <c r="E656" t="s">
        <v>49</v>
      </c>
      <c r="F656" t="s">
        <v>21</v>
      </c>
      <c r="G656" t="s">
        <v>21</v>
      </c>
      <c r="H656" t="s">
        <v>22</v>
      </c>
      <c r="I656" t="s">
        <v>23</v>
      </c>
      <c r="J656">
        <v>0</v>
      </c>
      <c r="K656" t="s">
        <v>21</v>
      </c>
      <c r="L656">
        <v>0</v>
      </c>
      <c r="M656">
        <v>6</v>
      </c>
      <c r="N656" t="s">
        <v>250</v>
      </c>
      <c r="O656" t="s">
        <v>52</v>
      </c>
      <c r="P656" t="s">
        <v>655</v>
      </c>
      <c r="Q656" t="s">
        <v>665</v>
      </c>
      <c r="R656" t="s">
        <v>656</v>
      </c>
      <c r="U656" t="str">
        <f t="shared" si="30"/>
        <v>Chasing Won</v>
      </c>
      <c r="X656" t="str">
        <f t="shared" si="31"/>
        <v>Yes</v>
      </c>
      <c r="AA656" t="str">
        <f t="shared" si="32"/>
        <v>2018</v>
      </c>
    </row>
    <row r="657" spans="1:27" x14ac:dyDescent="0.35">
      <c r="A657">
        <v>7913</v>
      </c>
      <c r="B657" t="s">
        <v>654</v>
      </c>
      <c r="C657" t="s">
        <v>19</v>
      </c>
      <c r="D657" t="s">
        <v>679</v>
      </c>
      <c r="E657" t="s">
        <v>141</v>
      </c>
      <c r="F657" t="s">
        <v>20</v>
      </c>
      <c r="G657" t="s">
        <v>20</v>
      </c>
      <c r="H657" t="s">
        <v>22</v>
      </c>
      <c r="I657" t="s">
        <v>23</v>
      </c>
      <c r="J657">
        <v>0</v>
      </c>
      <c r="K657" t="s">
        <v>141</v>
      </c>
      <c r="L657">
        <v>4</v>
      </c>
      <c r="M657">
        <v>0</v>
      </c>
      <c r="N657" t="s">
        <v>126</v>
      </c>
      <c r="O657" t="s">
        <v>25</v>
      </c>
      <c r="P657" t="s">
        <v>657</v>
      </c>
      <c r="Q657" t="s">
        <v>664</v>
      </c>
      <c r="R657" t="s">
        <v>663</v>
      </c>
      <c r="U657" t="str">
        <f t="shared" si="30"/>
        <v>Batting First Won</v>
      </c>
      <c r="X657" t="str">
        <f t="shared" si="31"/>
        <v>No</v>
      </c>
      <c r="AA657" t="str">
        <f t="shared" si="32"/>
        <v>2018</v>
      </c>
    </row>
    <row r="658" spans="1:27" x14ac:dyDescent="0.35">
      <c r="A658">
        <v>7914</v>
      </c>
      <c r="B658" t="s">
        <v>654</v>
      </c>
      <c r="C658" t="s">
        <v>158</v>
      </c>
      <c r="D658" t="s">
        <v>679</v>
      </c>
      <c r="E658" t="s">
        <v>29</v>
      </c>
      <c r="F658" t="s">
        <v>146</v>
      </c>
      <c r="G658" t="s">
        <v>29</v>
      </c>
      <c r="H658" t="s">
        <v>50</v>
      </c>
      <c r="I658" t="s">
        <v>23</v>
      </c>
      <c r="J658">
        <v>0</v>
      </c>
      <c r="K658" t="s">
        <v>146</v>
      </c>
      <c r="L658">
        <v>0</v>
      </c>
      <c r="M658">
        <v>3</v>
      </c>
      <c r="N658" t="s">
        <v>680</v>
      </c>
      <c r="O658" t="s">
        <v>161</v>
      </c>
      <c r="P658" t="s">
        <v>660</v>
      </c>
      <c r="Q658" t="s">
        <v>661</v>
      </c>
      <c r="R658" t="s">
        <v>40</v>
      </c>
      <c r="U658" t="str">
        <f t="shared" si="30"/>
        <v>Chasing Won</v>
      </c>
      <c r="X658" t="str">
        <f t="shared" si="31"/>
        <v>No</v>
      </c>
      <c r="AA658" t="str">
        <f t="shared" si="32"/>
        <v>2018</v>
      </c>
    </row>
    <row r="659" spans="1:27" x14ac:dyDescent="0.35">
      <c r="A659">
        <v>7915</v>
      </c>
      <c r="B659" t="s">
        <v>654</v>
      </c>
      <c r="C659" t="s">
        <v>71</v>
      </c>
      <c r="D659" t="s">
        <v>681</v>
      </c>
      <c r="E659" t="s">
        <v>43</v>
      </c>
      <c r="F659" t="s">
        <v>49</v>
      </c>
      <c r="G659" t="s">
        <v>49</v>
      </c>
      <c r="H659" t="s">
        <v>22</v>
      </c>
      <c r="I659" t="s">
        <v>23</v>
      </c>
      <c r="J659">
        <v>0</v>
      </c>
      <c r="K659" t="s">
        <v>43</v>
      </c>
      <c r="L659">
        <v>4</v>
      </c>
      <c r="M659">
        <v>0</v>
      </c>
      <c r="N659" t="s">
        <v>682</v>
      </c>
      <c r="O659" t="s">
        <v>73</v>
      </c>
      <c r="P659" t="s">
        <v>665</v>
      </c>
      <c r="Q659" t="s">
        <v>656</v>
      </c>
      <c r="R659" t="s">
        <v>655</v>
      </c>
      <c r="U659" t="str">
        <f t="shared" si="30"/>
        <v>Batting First Won</v>
      </c>
      <c r="X659" t="str">
        <f t="shared" si="31"/>
        <v>No</v>
      </c>
      <c r="AA659" t="str">
        <f t="shared" si="32"/>
        <v>2018</v>
      </c>
    </row>
    <row r="660" spans="1:27" x14ac:dyDescent="0.35">
      <c r="A660">
        <v>7916</v>
      </c>
      <c r="B660" t="s">
        <v>654</v>
      </c>
      <c r="C660" t="s">
        <v>55</v>
      </c>
      <c r="D660" t="s">
        <v>683</v>
      </c>
      <c r="E660" t="s">
        <v>20</v>
      </c>
      <c r="F660" t="s">
        <v>29</v>
      </c>
      <c r="G660" t="s">
        <v>29</v>
      </c>
      <c r="H660" t="s">
        <v>22</v>
      </c>
      <c r="I660" t="s">
        <v>23</v>
      </c>
      <c r="J660">
        <v>0</v>
      </c>
      <c r="K660" t="s">
        <v>20</v>
      </c>
      <c r="L660">
        <v>31</v>
      </c>
      <c r="M660">
        <v>0</v>
      </c>
      <c r="N660" t="s">
        <v>53</v>
      </c>
      <c r="O660" t="s">
        <v>57</v>
      </c>
      <c r="P660" t="s">
        <v>47</v>
      </c>
      <c r="Q660" t="s">
        <v>34</v>
      </c>
      <c r="R660" t="s">
        <v>662</v>
      </c>
      <c r="U660" t="str">
        <f t="shared" si="30"/>
        <v>Batting First Won</v>
      </c>
      <c r="X660" t="str">
        <f t="shared" si="31"/>
        <v>No</v>
      </c>
      <c r="AA660" t="str">
        <f t="shared" si="32"/>
        <v>2018</v>
      </c>
    </row>
    <row r="661" spans="1:27" x14ac:dyDescent="0.35">
      <c r="A661">
        <v>7917</v>
      </c>
      <c r="B661" t="s">
        <v>654</v>
      </c>
      <c r="C661" t="s">
        <v>667</v>
      </c>
      <c r="D661" t="s">
        <v>684</v>
      </c>
      <c r="E661" t="s">
        <v>21</v>
      </c>
      <c r="F661" t="s">
        <v>141</v>
      </c>
      <c r="G661" t="s">
        <v>141</v>
      </c>
      <c r="H661" t="s">
        <v>22</v>
      </c>
      <c r="I661" t="s">
        <v>23</v>
      </c>
      <c r="J661">
        <v>0</v>
      </c>
      <c r="K661" t="s">
        <v>141</v>
      </c>
      <c r="L661">
        <v>0</v>
      </c>
      <c r="M661">
        <v>5</v>
      </c>
      <c r="N661" t="s">
        <v>93</v>
      </c>
      <c r="O661" t="s">
        <v>52</v>
      </c>
      <c r="P661" t="s">
        <v>663</v>
      </c>
      <c r="Q661" t="s">
        <v>685</v>
      </c>
      <c r="R661" t="s">
        <v>657</v>
      </c>
      <c r="U661" t="str">
        <f t="shared" si="30"/>
        <v>Chasing Won</v>
      </c>
      <c r="X661" t="str">
        <f t="shared" si="31"/>
        <v>Yes</v>
      </c>
      <c r="AA661" t="str">
        <f t="shared" si="32"/>
        <v>2018</v>
      </c>
    </row>
    <row r="662" spans="1:27" x14ac:dyDescent="0.35">
      <c r="A662">
        <v>7918</v>
      </c>
      <c r="B662" t="s">
        <v>654</v>
      </c>
      <c r="C662" t="s">
        <v>19</v>
      </c>
      <c r="D662" t="s">
        <v>686</v>
      </c>
      <c r="E662" t="s">
        <v>20</v>
      </c>
      <c r="F662" t="s">
        <v>43</v>
      </c>
      <c r="G662" t="s">
        <v>43</v>
      </c>
      <c r="H662" t="s">
        <v>22</v>
      </c>
      <c r="I662" t="s">
        <v>23</v>
      </c>
      <c r="J662">
        <v>0</v>
      </c>
      <c r="K662" t="s">
        <v>20</v>
      </c>
      <c r="L662">
        <v>13</v>
      </c>
      <c r="M662">
        <v>0</v>
      </c>
      <c r="N662" t="s">
        <v>682</v>
      </c>
      <c r="O662" t="s">
        <v>25</v>
      </c>
      <c r="P662" t="s">
        <v>665</v>
      </c>
      <c r="Q662" t="s">
        <v>687</v>
      </c>
      <c r="R662" t="s">
        <v>660</v>
      </c>
      <c r="U662" t="str">
        <f t="shared" si="30"/>
        <v>Batting First Won</v>
      </c>
      <c r="X662" t="str">
        <f t="shared" si="31"/>
        <v>No</v>
      </c>
      <c r="AA662" t="str">
        <f t="shared" si="32"/>
        <v>2018</v>
      </c>
    </row>
    <row r="663" spans="1:27" x14ac:dyDescent="0.35">
      <c r="A663">
        <v>7919</v>
      </c>
      <c r="B663" t="s">
        <v>654</v>
      </c>
      <c r="C663" t="s">
        <v>71</v>
      </c>
      <c r="D663" t="s">
        <v>688</v>
      </c>
      <c r="E663" t="s">
        <v>49</v>
      </c>
      <c r="F663" t="s">
        <v>37</v>
      </c>
      <c r="G663" t="s">
        <v>37</v>
      </c>
      <c r="H663" t="s">
        <v>22</v>
      </c>
      <c r="I663" t="s">
        <v>23</v>
      </c>
      <c r="J663">
        <v>0</v>
      </c>
      <c r="K663" t="s">
        <v>49</v>
      </c>
      <c r="L663">
        <v>55</v>
      </c>
      <c r="M663">
        <v>0</v>
      </c>
      <c r="N663" t="s">
        <v>120</v>
      </c>
      <c r="O663" t="s">
        <v>73</v>
      </c>
      <c r="P663" t="s">
        <v>47</v>
      </c>
      <c r="Q663" t="s">
        <v>34</v>
      </c>
      <c r="R663" t="s">
        <v>656</v>
      </c>
      <c r="U663" t="str">
        <f t="shared" si="30"/>
        <v>Batting First Won</v>
      </c>
      <c r="X663" t="str">
        <f t="shared" si="31"/>
        <v>No</v>
      </c>
      <c r="AA663" t="str">
        <f t="shared" si="32"/>
        <v>2018</v>
      </c>
    </row>
    <row r="664" spans="1:27" x14ac:dyDescent="0.35">
      <c r="A664">
        <v>7920</v>
      </c>
      <c r="B664" t="s">
        <v>654</v>
      </c>
      <c r="C664" t="s">
        <v>28</v>
      </c>
      <c r="D664" t="s">
        <v>689</v>
      </c>
      <c r="E664" t="s">
        <v>141</v>
      </c>
      <c r="F664" t="s">
        <v>29</v>
      </c>
      <c r="G664" t="s">
        <v>29</v>
      </c>
      <c r="H664" t="s">
        <v>22</v>
      </c>
      <c r="I664" t="s">
        <v>23</v>
      </c>
      <c r="J664">
        <v>0</v>
      </c>
      <c r="K664" t="s">
        <v>29</v>
      </c>
      <c r="L664">
        <v>0</v>
      </c>
      <c r="M664">
        <v>8</v>
      </c>
      <c r="N664" t="s">
        <v>110</v>
      </c>
      <c r="O664" t="s">
        <v>32</v>
      </c>
      <c r="P664" t="s">
        <v>655</v>
      </c>
      <c r="Q664" t="s">
        <v>40</v>
      </c>
      <c r="R664" t="s">
        <v>690</v>
      </c>
      <c r="U664" t="str">
        <f t="shared" si="30"/>
        <v>Chasing Won</v>
      </c>
      <c r="X664" t="str">
        <f t="shared" si="31"/>
        <v>Yes</v>
      </c>
      <c r="AA664" t="str">
        <f t="shared" si="32"/>
        <v>2018</v>
      </c>
    </row>
    <row r="665" spans="1:27" x14ac:dyDescent="0.35">
      <c r="A665">
        <v>7921</v>
      </c>
      <c r="B665" t="s">
        <v>654</v>
      </c>
      <c r="C665" t="s">
        <v>158</v>
      </c>
      <c r="D665" t="s">
        <v>691</v>
      </c>
      <c r="E665" t="s">
        <v>20</v>
      </c>
      <c r="F665" t="s">
        <v>146</v>
      </c>
      <c r="G665" t="s">
        <v>20</v>
      </c>
      <c r="H665" t="s">
        <v>50</v>
      </c>
      <c r="I665" t="s">
        <v>23</v>
      </c>
      <c r="J665">
        <v>0</v>
      </c>
      <c r="K665" t="s">
        <v>20</v>
      </c>
      <c r="L665">
        <v>11</v>
      </c>
      <c r="M665">
        <v>0</v>
      </c>
      <c r="N665" t="s">
        <v>84</v>
      </c>
      <c r="O665" t="s">
        <v>161</v>
      </c>
      <c r="P665" t="s">
        <v>692</v>
      </c>
      <c r="Q665" t="s">
        <v>656</v>
      </c>
      <c r="R665" t="s">
        <v>34</v>
      </c>
      <c r="U665" t="str">
        <f t="shared" si="30"/>
        <v>Batting First Won</v>
      </c>
      <c r="X665" t="str">
        <f t="shared" si="31"/>
        <v>Yes</v>
      </c>
      <c r="AA665" t="str">
        <f t="shared" si="32"/>
        <v>2018</v>
      </c>
    </row>
    <row r="666" spans="1:27" x14ac:dyDescent="0.35">
      <c r="A666">
        <v>7922</v>
      </c>
      <c r="B666" t="s">
        <v>654</v>
      </c>
      <c r="C666" t="s">
        <v>667</v>
      </c>
      <c r="D666" t="s">
        <v>691</v>
      </c>
      <c r="E666" t="s">
        <v>21</v>
      </c>
      <c r="F666" t="s">
        <v>37</v>
      </c>
      <c r="G666" t="s">
        <v>37</v>
      </c>
      <c r="H666" t="s">
        <v>22</v>
      </c>
      <c r="I666" t="s">
        <v>23</v>
      </c>
      <c r="J666">
        <v>0</v>
      </c>
      <c r="K666" t="s">
        <v>37</v>
      </c>
      <c r="L666">
        <v>0</v>
      </c>
      <c r="M666">
        <v>6</v>
      </c>
      <c r="N666" t="s">
        <v>38</v>
      </c>
      <c r="O666" t="s">
        <v>52</v>
      </c>
      <c r="P666" t="s">
        <v>663</v>
      </c>
      <c r="Q666" t="s">
        <v>657</v>
      </c>
      <c r="R666" t="s">
        <v>685</v>
      </c>
      <c r="U666" t="str">
        <f t="shared" si="30"/>
        <v>Chasing Won</v>
      </c>
      <c r="X666" t="str">
        <f t="shared" si="31"/>
        <v>Yes</v>
      </c>
      <c r="AA666" t="str">
        <f t="shared" si="32"/>
        <v>2018</v>
      </c>
    </row>
    <row r="667" spans="1:27" x14ac:dyDescent="0.35">
      <c r="A667">
        <v>7923</v>
      </c>
      <c r="B667" t="s">
        <v>654</v>
      </c>
      <c r="C667" t="s">
        <v>28</v>
      </c>
      <c r="D667" t="s">
        <v>693</v>
      </c>
      <c r="E667" t="s">
        <v>141</v>
      </c>
      <c r="F667" t="s">
        <v>49</v>
      </c>
      <c r="G667" t="s">
        <v>49</v>
      </c>
      <c r="H667" t="s">
        <v>22</v>
      </c>
      <c r="I667" t="s">
        <v>23</v>
      </c>
      <c r="J667">
        <v>0</v>
      </c>
      <c r="K667" t="s">
        <v>141</v>
      </c>
      <c r="L667">
        <v>13</v>
      </c>
      <c r="M667">
        <v>0</v>
      </c>
      <c r="N667" t="s">
        <v>160</v>
      </c>
      <c r="O667" t="s">
        <v>32</v>
      </c>
      <c r="P667" t="s">
        <v>47</v>
      </c>
      <c r="Q667" t="s">
        <v>690</v>
      </c>
      <c r="R667" t="s">
        <v>665</v>
      </c>
      <c r="U667" t="str">
        <f t="shared" si="30"/>
        <v>Batting First Won</v>
      </c>
      <c r="X667" t="str">
        <f t="shared" si="31"/>
        <v>No</v>
      </c>
      <c r="AA667" t="str">
        <f t="shared" si="32"/>
        <v>2018</v>
      </c>
    </row>
    <row r="668" spans="1:27" x14ac:dyDescent="0.35">
      <c r="A668">
        <v>7924</v>
      </c>
      <c r="B668" t="s">
        <v>654</v>
      </c>
      <c r="C668" t="s">
        <v>667</v>
      </c>
      <c r="D668" s="1">
        <v>43105</v>
      </c>
      <c r="E668" t="s">
        <v>21</v>
      </c>
      <c r="F668" t="s">
        <v>29</v>
      </c>
      <c r="G668" t="s">
        <v>29</v>
      </c>
      <c r="H668" t="s">
        <v>22</v>
      </c>
      <c r="I668" t="s">
        <v>23</v>
      </c>
      <c r="J668">
        <v>0</v>
      </c>
      <c r="K668" t="s">
        <v>21</v>
      </c>
      <c r="L668">
        <v>14</v>
      </c>
      <c r="M668">
        <v>0</v>
      </c>
      <c r="N668" t="s">
        <v>694</v>
      </c>
      <c r="O668" t="s">
        <v>52</v>
      </c>
      <c r="P668" t="s">
        <v>695</v>
      </c>
      <c r="Q668" t="s">
        <v>40</v>
      </c>
      <c r="R668" t="s">
        <v>687</v>
      </c>
      <c r="U668" t="str">
        <f t="shared" si="30"/>
        <v>Batting First Won</v>
      </c>
      <c r="X668" t="str">
        <f t="shared" si="31"/>
        <v>No</v>
      </c>
      <c r="AA668" t="str">
        <f t="shared" si="32"/>
        <v>2018</v>
      </c>
    </row>
    <row r="669" spans="1:27" x14ac:dyDescent="0.35">
      <c r="A669">
        <v>7925</v>
      </c>
      <c r="B669" t="s">
        <v>654</v>
      </c>
      <c r="C669" t="s">
        <v>71</v>
      </c>
      <c r="D669" s="1">
        <v>43136</v>
      </c>
      <c r="E669" t="s">
        <v>49</v>
      </c>
      <c r="F669" t="s">
        <v>146</v>
      </c>
      <c r="G669" t="s">
        <v>146</v>
      </c>
      <c r="H669" t="s">
        <v>22</v>
      </c>
      <c r="I669" t="s">
        <v>23</v>
      </c>
      <c r="J669">
        <v>1</v>
      </c>
      <c r="K669" t="s">
        <v>49</v>
      </c>
      <c r="L669">
        <v>4</v>
      </c>
      <c r="M669">
        <v>0</v>
      </c>
      <c r="N669" t="s">
        <v>113</v>
      </c>
      <c r="O669" t="s">
        <v>73</v>
      </c>
      <c r="P669" t="s">
        <v>665</v>
      </c>
      <c r="Q669" t="s">
        <v>685</v>
      </c>
      <c r="R669" t="s">
        <v>692</v>
      </c>
      <c r="U669" t="str">
        <f t="shared" si="30"/>
        <v>Batting First Won</v>
      </c>
      <c r="X669" t="str">
        <f t="shared" si="31"/>
        <v>No</v>
      </c>
      <c r="AA669" t="str">
        <f t="shared" si="32"/>
        <v>2018</v>
      </c>
    </row>
    <row r="670" spans="1:27" x14ac:dyDescent="0.35">
      <c r="A670">
        <v>7926</v>
      </c>
      <c r="B670" t="s">
        <v>654</v>
      </c>
      <c r="C670" t="s">
        <v>61</v>
      </c>
      <c r="D670" s="1">
        <v>43164</v>
      </c>
      <c r="E670" t="s">
        <v>141</v>
      </c>
      <c r="F670" t="s">
        <v>37</v>
      </c>
      <c r="G670" t="s">
        <v>37</v>
      </c>
      <c r="H670" t="s">
        <v>22</v>
      </c>
      <c r="I670" t="s">
        <v>23</v>
      </c>
      <c r="J670">
        <v>0</v>
      </c>
      <c r="K670" t="s">
        <v>37</v>
      </c>
      <c r="L670">
        <v>0</v>
      </c>
      <c r="M670">
        <v>6</v>
      </c>
      <c r="N670" t="s">
        <v>63</v>
      </c>
      <c r="O670" t="s">
        <v>64</v>
      </c>
      <c r="P670" t="s">
        <v>696</v>
      </c>
      <c r="Q670" t="s">
        <v>662</v>
      </c>
      <c r="R670" t="s">
        <v>657</v>
      </c>
      <c r="U670" t="str">
        <f t="shared" si="30"/>
        <v>Chasing Won</v>
      </c>
      <c r="X670" t="str">
        <f t="shared" si="31"/>
        <v>Yes</v>
      </c>
      <c r="AA670" t="str">
        <f t="shared" si="32"/>
        <v>2018</v>
      </c>
    </row>
    <row r="671" spans="1:27" x14ac:dyDescent="0.35">
      <c r="A671">
        <v>7927</v>
      </c>
      <c r="B671" t="s">
        <v>654</v>
      </c>
      <c r="C671" t="s">
        <v>42</v>
      </c>
      <c r="D671" s="1">
        <v>43195</v>
      </c>
      <c r="E671" t="s">
        <v>43</v>
      </c>
      <c r="F671" t="s">
        <v>29</v>
      </c>
      <c r="G671" t="s">
        <v>29</v>
      </c>
      <c r="H671" t="s">
        <v>22</v>
      </c>
      <c r="I671" t="s">
        <v>23</v>
      </c>
      <c r="J671">
        <v>0</v>
      </c>
      <c r="K671" t="s">
        <v>29</v>
      </c>
      <c r="L671">
        <v>0</v>
      </c>
      <c r="M671">
        <v>6</v>
      </c>
      <c r="N671" t="s">
        <v>697</v>
      </c>
      <c r="O671" t="s">
        <v>45</v>
      </c>
      <c r="P671" t="s">
        <v>34</v>
      </c>
      <c r="Q671" t="s">
        <v>690</v>
      </c>
      <c r="R671" t="s">
        <v>47</v>
      </c>
      <c r="U671" t="str">
        <f t="shared" si="30"/>
        <v>Chasing Won</v>
      </c>
      <c r="X671" t="str">
        <f t="shared" si="31"/>
        <v>Yes</v>
      </c>
      <c r="AA671" t="str">
        <f t="shared" si="32"/>
        <v>2018</v>
      </c>
    </row>
    <row r="672" spans="1:27" x14ac:dyDescent="0.35">
      <c r="A672">
        <v>7928</v>
      </c>
      <c r="B672" t="s">
        <v>654</v>
      </c>
      <c r="C672" t="s">
        <v>28</v>
      </c>
      <c r="D672" s="1">
        <v>43225</v>
      </c>
      <c r="E672" t="s">
        <v>21</v>
      </c>
      <c r="F672" t="s">
        <v>141</v>
      </c>
      <c r="G672" t="s">
        <v>141</v>
      </c>
      <c r="H672" t="s">
        <v>22</v>
      </c>
      <c r="I672" t="s">
        <v>23</v>
      </c>
      <c r="J672">
        <v>0</v>
      </c>
      <c r="K672" t="s">
        <v>141</v>
      </c>
      <c r="L672">
        <v>0</v>
      </c>
      <c r="M672">
        <v>6</v>
      </c>
      <c r="N672" t="s">
        <v>430</v>
      </c>
      <c r="O672" t="s">
        <v>32</v>
      </c>
      <c r="P672" t="s">
        <v>40</v>
      </c>
      <c r="Q672" t="s">
        <v>687</v>
      </c>
      <c r="R672" t="s">
        <v>695</v>
      </c>
      <c r="U672" t="str">
        <f t="shared" si="30"/>
        <v>Chasing Won</v>
      </c>
      <c r="X672" t="str">
        <f t="shared" si="31"/>
        <v>Yes</v>
      </c>
      <c r="AA672" t="str">
        <f t="shared" si="32"/>
        <v>2018</v>
      </c>
    </row>
    <row r="673" spans="1:27" x14ac:dyDescent="0.35">
      <c r="A673">
        <v>7929</v>
      </c>
      <c r="B673" t="s">
        <v>654</v>
      </c>
      <c r="C673" t="s">
        <v>19</v>
      </c>
      <c r="D673" s="1">
        <v>43225</v>
      </c>
      <c r="E673" t="s">
        <v>49</v>
      </c>
      <c r="F673" t="s">
        <v>20</v>
      </c>
      <c r="G673" t="s">
        <v>49</v>
      </c>
      <c r="H673" t="s">
        <v>50</v>
      </c>
      <c r="I673" t="s">
        <v>23</v>
      </c>
      <c r="J673">
        <v>0</v>
      </c>
      <c r="K673" t="s">
        <v>20</v>
      </c>
      <c r="L673">
        <v>0</v>
      </c>
      <c r="M673">
        <v>7</v>
      </c>
      <c r="N673" t="s">
        <v>53</v>
      </c>
      <c r="O673" t="s">
        <v>25</v>
      </c>
      <c r="P673" t="s">
        <v>692</v>
      </c>
      <c r="Q673" t="s">
        <v>665</v>
      </c>
      <c r="R673" t="s">
        <v>685</v>
      </c>
      <c r="U673" t="str">
        <f t="shared" si="30"/>
        <v>Chasing Won</v>
      </c>
      <c r="X673" t="str">
        <f t="shared" si="31"/>
        <v>No</v>
      </c>
      <c r="AA673" t="str">
        <f t="shared" si="32"/>
        <v>2018</v>
      </c>
    </row>
    <row r="674" spans="1:27" x14ac:dyDescent="0.35">
      <c r="A674">
        <v>7930</v>
      </c>
      <c r="B674" t="s">
        <v>654</v>
      </c>
      <c r="C674" t="s">
        <v>55</v>
      </c>
      <c r="D674" s="1">
        <v>43256</v>
      </c>
      <c r="E674" t="s">
        <v>29</v>
      </c>
      <c r="F674" t="s">
        <v>37</v>
      </c>
      <c r="G674" t="s">
        <v>37</v>
      </c>
      <c r="H674" t="s">
        <v>22</v>
      </c>
      <c r="I674" t="s">
        <v>23</v>
      </c>
      <c r="J674">
        <v>0</v>
      </c>
      <c r="K674" t="s">
        <v>29</v>
      </c>
      <c r="L674">
        <v>13</v>
      </c>
      <c r="M674">
        <v>0</v>
      </c>
      <c r="N674" t="s">
        <v>598</v>
      </c>
      <c r="O674" t="s">
        <v>57</v>
      </c>
      <c r="P674" t="s">
        <v>696</v>
      </c>
      <c r="Q674" t="s">
        <v>662</v>
      </c>
      <c r="R674" t="s">
        <v>657</v>
      </c>
      <c r="U674" t="str">
        <f t="shared" si="30"/>
        <v>Batting First Won</v>
      </c>
      <c r="X674" t="str">
        <f t="shared" si="31"/>
        <v>No</v>
      </c>
      <c r="AA674" t="str">
        <f t="shared" si="32"/>
        <v>2018</v>
      </c>
    </row>
    <row r="675" spans="1:27" x14ac:dyDescent="0.35">
      <c r="A675">
        <v>7931</v>
      </c>
      <c r="B675" t="s">
        <v>654</v>
      </c>
      <c r="C675" t="s">
        <v>42</v>
      </c>
      <c r="D675" s="1">
        <v>43256</v>
      </c>
      <c r="E675" t="s">
        <v>146</v>
      </c>
      <c r="F675" t="s">
        <v>43</v>
      </c>
      <c r="G675" t="s">
        <v>43</v>
      </c>
      <c r="H675" t="s">
        <v>22</v>
      </c>
      <c r="I675" t="s">
        <v>23</v>
      </c>
      <c r="J675">
        <v>0</v>
      </c>
      <c r="K675" t="s">
        <v>43</v>
      </c>
      <c r="L675">
        <v>0</v>
      </c>
      <c r="M675">
        <v>6</v>
      </c>
      <c r="N675" t="s">
        <v>698</v>
      </c>
      <c r="O675" t="s">
        <v>45</v>
      </c>
      <c r="P675" t="s">
        <v>47</v>
      </c>
      <c r="Q675" t="s">
        <v>34</v>
      </c>
      <c r="R675" t="s">
        <v>690</v>
      </c>
      <c r="U675" t="str">
        <f t="shared" si="30"/>
        <v>Chasing Won</v>
      </c>
      <c r="X675" t="str">
        <f t="shared" si="31"/>
        <v>Yes</v>
      </c>
      <c r="AA675" t="str">
        <f t="shared" si="32"/>
        <v>2018</v>
      </c>
    </row>
    <row r="676" spans="1:27" x14ac:dyDescent="0.35">
      <c r="A676">
        <v>7932</v>
      </c>
      <c r="B676" t="s">
        <v>654</v>
      </c>
      <c r="C676" t="s">
        <v>19</v>
      </c>
      <c r="D676" s="1">
        <v>43286</v>
      </c>
      <c r="E676" t="s">
        <v>20</v>
      </c>
      <c r="F676" t="s">
        <v>21</v>
      </c>
      <c r="G676" t="s">
        <v>21</v>
      </c>
      <c r="H676" t="s">
        <v>22</v>
      </c>
      <c r="I676" t="s">
        <v>23</v>
      </c>
      <c r="J676">
        <v>0</v>
      </c>
      <c r="K676" t="s">
        <v>20</v>
      </c>
      <c r="L676">
        <v>5</v>
      </c>
      <c r="M676">
        <v>0</v>
      </c>
      <c r="N676" t="s">
        <v>84</v>
      </c>
      <c r="O676" t="s">
        <v>25</v>
      </c>
      <c r="P676" t="s">
        <v>692</v>
      </c>
      <c r="Q676" t="s">
        <v>685</v>
      </c>
      <c r="R676" t="s">
        <v>665</v>
      </c>
      <c r="U676" t="str">
        <f t="shared" si="30"/>
        <v>Batting First Won</v>
      </c>
      <c r="X676" t="str">
        <f t="shared" si="31"/>
        <v>No</v>
      </c>
      <c r="AA676" t="str">
        <f t="shared" si="32"/>
        <v>2018</v>
      </c>
    </row>
    <row r="677" spans="1:27" x14ac:dyDescent="0.35">
      <c r="A677">
        <v>7933</v>
      </c>
      <c r="B677" t="s">
        <v>654</v>
      </c>
      <c r="C677" t="s">
        <v>158</v>
      </c>
      <c r="D677" s="1">
        <v>43317</v>
      </c>
      <c r="E677" t="s">
        <v>146</v>
      </c>
      <c r="F677" t="s">
        <v>43</v>
      </c>
      <c r="G677" t="s">
        <v>146</v>
      </c>
      <c r="H677" t="s">
        <v>50</v>
      </c>
      <c r="I677" t="s">
        <v>23</v>
      </c>
      <c r="J677">
        <v>0</v>
      </c>
      <c r="K677" t="s">
        <v>146</v>
      </c>
      <c r="L677">
        <v>15</v>
      </c>
      <c r="M677">
        <v>0</v>
      </c>
      <c r="N677" t="s">
        <v>87</v>
      </c>
      <c r="O677" t="s">
        <v>161</v>
      </c>
      <c r="P677" t="s">
        <v>695</v>
      </c>
      <c r="Q677" t="s">
        <v>40</v>
      </c>
      <c r="R677" t="s">
        <v>687</v>
      </c>
      <c r="U677" t="str">
        <f t="shared" si="30"/>
        <v>Batting First Won</v>
      </c>
      <c r="X677" t="str">
        <f t="shared" si="31"/>
        <v>Yes</v>
      </c>
      <c r="AA677" t="str">
        <f t="shared" si="32"/>
        <v>2018</v>
      </c>
    </row>
    <row r="678" spans="1:27" x14ac:dyDescent="0.35">
      <c r="A678">
        <v>7934</v>
      </c>
      <c r="B678" t="s">
        <v>654</v>
      </c>
      <c r="C678" t="s">
        <v>61</v>
      </c>
      <c r="D678" s="1">
        <v>43348</v>
      </c>
      <c r="E678" t="s">
        <v>29</v>
      </c>
      <c r="F678" t="s">
        <v>37</v>
      </c>
      <c r="G678" t="s">
        <v>37</v>
      </c>
      <c r="H678" t="s">
        <v>22</v>
      </c>
      <c r="I678" t="s">
        <v>23</v>
      </c>
      <c r="J678">
        <v>0</v>
      </c>
      <c r="K678" t="s">
        <v>29</v>
      </c>
      <c r="L678">
        <v>102</v>
      </c>
      <c r="M678">
        <v>0</v>
      </c>
      <c r="N678" t="s">
        <v>699</v>
      </c>
      <c r="O678" t="s">
        <v>64</v>
      </c>
      <c r="P678" t="s">
        <v>657</v>
      </c>
      <c r="Q678" t="s">
        <v>661</v>
      </c>
      <c r="R678" t="s">
        <v>696</v>
      </c>
      <c r="U678" t="str">
        <f t="shared" si="30"/>
        <v>Batting First Won</v>
      </c>
      <c r="X678" t="str">
        <f t="shared" si="31"/>
        <v>No</v>
      </c>
      <c r="AA678" t="str">
        <f t="shared" si="32"/>
        <v>2018</v>
      </c>
    </row>
    <row r="679" spans="1:27" x14ac:dyDescent="0.35">
      <c r="A679">
        <v>7935</v>
      </c>
      <c r="B679" t="s">
        <v>654</v>
      </c>
      <c r="C679" t="s">
        <v>71</v>
      </c>
      <c r="D679" s="1">
        <v>43378</v>
      </c>
      <c r="E679" t="s">
        <v>49</v>
      </c>
      <c r="F679" t="s">
        <v>20</v>
      </c>
      <c r="G679" t="s">
        <v>49</v>
      </c>
      <c r="H679" t="s">
        <v>50</v>
      </c>
      <c r="I679" t="s">
        <v>23</v>
      </c>
      <c r="J679">
        <v>0</v>
      </c>
      <c r="K679" t="s">
        <v>20</v>
      </c>
      <c r="L679">
        <v>0</v>
      </c>
      <c r="M679">
        <v>9</v>
      </c>
      <c r="N679" t="s">
        <v>117</v>
      </c>
      <c r="O679" t="s">
        <v>73</v>
      </c>
      <c r="P679" t="s">
        <v>47</v>
      </c>
      <c r="Q679" t="s">
        <v>690</v>
      </c>
      <c r="R679" t="s">
        <v>34</v>
      </c>
      <c r="U679" t="str">
        <f t="shared" si="30"/>
        <v>Chasing Won</v>
      </c>
      <c r="X679" t="str">
        <f t="shared" si="31"/>
        <v>No</v>
      </c>
      <c r="AA679" t="str">
        <f t="shared" si="32"/>
        <v>2018</v>
      </c>
    </row>
    <row r="680" spans="1:27" x14ac:dyDescent="0.35">
      <c r="A680">
        <v>7936</v>
      </c>
      <c r="B680" t="s">
        <v>654</v>
      </c>
      <c r="C680" t="s">
        <v>158</v>
      </c>
      <c r="D680" s="1">
        <v>43409</v>
      </c>
      <c r="E680" t="s">
        <v>141</v>
      </c>
      <c r="F680" t="s">
        <v>146</v>
      </c>
      <c r="G680" t="s">
        <v>141</v>
      </c>
      <c r="H680" t="s">
        <v>50</v>
      </c>
      <c r="I680" t="s">
        <v>23</v>
      </c>
      <c r="J680">
        <v>0</v>
      </c>
      <c r="K680" t="s">
        <v>146</v>
      </c>
      <c r="L680">
        <v>0</v>
      </c>
      <c r="M680">
        <v>4</v>
      </c>
      <c r="N680" t="s">
        <v>87</v>
      </c>
      <c r="O680" t="s">
        <v>161</v>
      </c>
      <c r="P680" t="s">
        <v>695</v>
      </c>
      <c r="Q680" t="s">
        <v>687</v>
      </c>
      <c r="R680" t="s">
        <v>40</v>
      </c>
      <c r="U680" t="str">
        <f t="shared" si="30"/>
        <v>Chasing Won</v>
      </c>
      <c r="X680" t="str">
        <f t="shared" si="31"/>
        <v>No</v>
      </c>
      <c r="AA680" t="str">
        <f t="shared" si="32"/>
        <v>2018</v>
      </c>
    </row>
    <row r="681" spans="1:27" x14ac:dyDescent="0.35">
      <c r="A681">
        <v>7937</v>
      </c>
      <c r="B681" t="s">
        <v>654</v>
      </c>
      <c r="C681" t="s">
        <v>42</v>
      </c>
      <c r="D681" s="1">
        <v>43439</v>
      </c>
      <c r="E681" t="s">
        <v>37</v>
      </c>
      <c r="F681" t="s">
        <v>43</v>
      </c>
      <c r="G681" t="s">
        <v>43</v>
      </c>
      <c r="H681" t="s">
        <v>22</v>
      </c>
      <c r="I681" t="s">
        <v>23</v>
      </c>
      <c r="J681">
        <v>0</v>
      </c>
      <c r="K681" t="s">
        <v>37</v>
      </c>
      <c r="L681">
        <v>31</v>
      </c>
      <c r="M681">
        <v>0</v>
      </c>
      <c r="N681" t="s">
        <v>63</v>
      </c>
      <c r="O681" t="s">
        <v>45</v>
      </c>
      <c r="P681" t="s">
        <v>665</v>
      </c>
      <c r="Q681" t="s">
        <v>685</v>
      </c>
      <c r="R681" t="s">
        <v>692</v>
      </c>
      <c r="U681" t="str">
        <f t="shared" si="30"/>
        <v>Batting First Won</v>
      </c>
      <c r="X681" t="str">
        <f t="shared" si="31"/>
        <v>No</v>
      </c>
      <c r="AA681" t="str">
        <f t="shared" si="32"/>
        <v>2018</v>
      </c>
    </row>
    <row r="682" spans="1:27" x14ac:dyDescent="0.35">
      <c r="A682">
        <v>7938</v>
      </c>
      <c r="B682" t="s">
        <v>654</v>
      </c>
      <c r="C682" t="s">
        <v>71</v>
      </c>
      <c r="D682" s="1">
        <v>43439</v>
      </c>
      <c r="E682" t="s">
        <v>49</v>
      </c>
      <c r="F682" t="s">
        <v>21</v>
      </c>
      <c r="G682" t="s">
        <v>21</v>
      </c>
      <c r="H682" t="s">
        <v>22</v>
      </c>
      <c r="I682" t="s">
        <v>23</v>
      </c>
      <c r="J682">
        <v>0</v>
      </c>
      <c r="K682" t="s">
        <v>21</v>
      </c>
      <c r="L682">
        <v>0</v>
      </c>
      <c r="M682">
        <v>5</v>
      </c>
      <c r="N682" t="s">
        <v>250</v>
      </c>
      <c r="O682" t="s">
        <v>73</v>
      </c>
      <c r="P682" t="s">
        <v>696</v>
      </c>
      <c r="Q682" t="s">
        <v>657</v>
      </c>
      <c r="R682" t="s">
        <v>661</v>
      </c>
      <c r="U682" t="str">
        <f t="shared" si="30"/>
        <v>Chasing Won</v>
      </c>
      <c r="X682" t="str">
        <f t="shared" si="31"/>
        <v>Yes</v>
      </c>
      <c r="AA682" t="str">
        <f t="shared" si="32"/>
        <v>2018</v>
      </c>
    </row>
    <row r="683" spans="1:27" x14ac:dyDescent="0.35">
      <c r="A683">
        <v>7939</v>
      </c>
      <c r="B683" t="s">
        <v>654</v>
      </c>
      <c r="C683" t="s">
        <v>28</v>
      </c>
      <c r="D683" t="s">
        <v>700</v>
      </c>
      <c r="E683" t="s">
        <v>20</v>
      </c>
      <c r="F683" t="s">
        <v>141</v>
      </c>
      <c r="G683" t="s">
        <v>141</v>
      </c>
      <c r="H683" t="s">
        <v>22</v>
      </c>
      <c r="I683" t="s">
        <v>23</v>
      </c>
      <c r="J683">
        <v>0</v>
      </c>
      <c r="K683" t="s">
        <v>141</v>
      </c>
      <c r="L683">
        <v>0</v>
      </c>
      <c r="M683">
        <v>8</v>
      </c>
      <c r="N683" t="s">
        <v>126</v>
      </c>
      <c r="O683" t="s">
        <v>32</v>
      </c>
      <c r="P683" t="s">
        <v>695</v>
      </c>
      <c r="Q683" t="s">
        <v>687</v>
      </c>
      <c r="R683" t="s">
        <v>690</v>
      </c>
      <c r="U683" t="str">
        <f t="shared" si="30"/>
        <v>Chasing Won</v>
      </c>
      <c r="X683" t="str">
        <f t="shared" si="31"/>
        <v>Yes</v>
      </c>
      <c r="AA683" t="str">
        <f t="shared" si="32"/>
        <v>2018</v>
      </c>
    </row>
    <row r="684" spans="1:27" x14ac:dyDescent="0.35">
      <c r="A684">
        <v>7940</v>
      </c>
      <c r="B684" t="s">
        <v>654</v>
      </c>
      <c r="C684" t="s">
        <v>55</v>
      </c>
      <c r="D684" t="s">
        <v>700</v>
      </c>
      <c r="E684" t="s">
        <v>29</v>
      </c>
      <c r="F684" t="s">
        <v>146</v>
      </c>
      <c r="G684" t="s">
        <v>146</v>
      </c>
      <c r="H684" t="s">
        <v>22</v>
      </c>
      <c r="I684" t="s">
        <v>23</v>
      </c>
      <c r="J684">
        <v>0</v>
      </c>
      <c r="K684" t="s">
        <v>146</v>
      </c>
      <c r="L684">
        <v>0</v>
      </c>
      <c r="M684">
        <v>7</v>
      </c>
      <c r="N684" t="s">
        <v>87</v>
      </c>
      <c r="O684" t="s">
        <v>57</v>
      </c>
      <c r="P684" t="s">
        <v>40</v>
      </c>
      <c r="Q684" t="s">
        <v>34</v>
      </c>
      <c r="R684" t="s">
        <v>47</v>
      </c>
      <c r="U684" t="str">
        <f t="shared" si="30"/>
        <v>Chasing Won</v>
      </c>
      <c r="X684" t="str">
        <f t="shared" si="31"/>
        <v>Yes</v>
      </c>
      <c r="AA684" t="str">
        <f t="shared" si="32"/>
        <v>2018</v>
      </c>
    </row>
    <row r="685" spans="1:27" x14ac:dyDescent="0.35">
      <c r="A685">
        <v>7941</v>
      </c>
      <c r="B685" t="s">
        <v>654</v>
      </c>
      <c r="C685" t="s">
        <v>42</v>
      </c>
      <c r="D685" t="s">
        <v>701</v>
      </c>
      <c r="E685" t="s">
        <v>43</v>
      </c>
      <c r="F685" t="s">
        <v>21</v>
      </c>
      <c r="G685" t="s">
        <v>21</v>
      </c>
      <c r="H685" t="s">
        <v>22</v>
      </c>
      <c r="I685" t="s">
        <v>23</v>
      </c>
      <c r="J685">
        <v>0</v>
      </c>
      <c r="K685" t="s">
        <v>21</v>
      </c>
      <c r="L685">
        <v>0</v>
      </c>
      <c r="M685">
        <v>10</v>
      </c>
      <c r="N685" t="s">
        <v>470</v>
      </c>
      <c r="O685" t="s">
        <v>45</v>
      </c>
      <c r="P685" t="s">
        <v>692</v>
      </c>
      <c r="Q685" t="s">
        <v>685</v>
      </c>
      <c r="R685" t="s">
        <v>665</v>
      </c>
      <c r="U685" t="str">
        <f t="shared" si="30"/>
        <v>Chasing Won</v>
      </c>
      <c r="X685" t="str">
        <f t="shared" si="31"/>
        <v>Yes</v>
      </c>
      <c r="AA685" t="str">
        <f t="shared" si="32"/>
        <v>2018</v>
      </c>
    </row>
    <row r="686" spans="1:27" x14ac:dyDescent="0.35">
      <c r="A686">
        <v>7942</v>
      </c>
      <c r="B686" t="s">
        <v>654</v>
      </c>
      <c r="C686" t="s">
        <v>61</v>
      </c>
      <c r="D686" t="s">
        <v>702</v>
      </c>
      <c r="E686" t="s">
        <v>146</v>
      </c>
      <c r="F686" t="s">
        <v>37</v>
      </c>
      <c r="G686" t="s">
        <v>37</v>
      </c>
      <c r="H686" t="s">
        <v>22</v>
      </c>
      <c r="I686" t="s">
        <v>23</v>
      </c>
      <c r="J686">
        <v>0</v>
      </c>
      <c r="K686" t="s">
        <v>37</v>
      </c>
      <c r="L686">
        <v>0</v>
      </c>
      <c r="M686">
        <v>6</v>
      </c>
      <c r="N686" t="s">
        <v>703</v>
      </c>
      <c r="O686" t="s">
        <v>64</v>
      </c>
      <c r="P686" t="s">
        <v>696</v>
      </c>
      <c r="Q686" t="s">
        <v>657</v>
      </c>
      <c r="R686" t="s">
        <v>664</v>
      </c>
      <c r="U686" t="str">
        <f t="shared" si="30"/>
        <v>Chasing Won</v>
      </c>
      <c r="X686" t="str">
        <f t="shared" si="31"/>
        <v>Yes</v>
      </c>
      <c r="AA686" t="str">
        <f t="shared" si="32"/>
        <v>2018</v>
      </c>
    </row>
    <row r="687" spans="1:27" x14ac:dyDescent="0.35">
      <c r="A687">
        <v>7943</v>
      </c>
      <c r="B687" t="s">
        <v>654</v>
      </c>
      <c r="C687" t="s">
        <v>55</v>
      </c>
      <c r="D687" t="s">
        <v>704</v>
      </c>
      <c r="E687" t="s">
        <v>29</v>
      </c>
      <c r="F687" t="s">
        <v>43</v>
      </c>
      <c r="G687" t="s">
        <v>43</v>
      </c>
      <c r="H687" t="s">
        <v>22</v>
      </c>
      <c r="I687" t="s">
        <v>23</v>
      </c>
      <c r="J687">
        <v>0</v>
      </c>
      <c r="K687" t="s">
        <v>29</v>
      </c>
      <c r="L687">
        <v>3</v>
      </c>
      <c r="M687">
        <v>0</v>
      </c>
      <c r="N687" t="s">
        <v>60</v>
      </c>
      <c r="O687" t="s">
        <v>57</v>
      </c>
      <c r="P687" t="s">
        <v>695</v>
      </c>
      <c r="Q687" t="s">
        <v>40</v>
      </c>
      <c r="R687" t="s">
        <v>687</v>
      </c>
      <c r="U687" t="str">
        <f t="shared" si="30"/>
        <v>Batting First Won</v>
      </c>
      <c r="X687" t="str">
        <f t="shared" si="31"/>
        <v>No</v>
      </c>
      <c r="AA687" t="str">
        <f t="shared" si="32"/>
        <v>2018</v>
      </c>
    </row>
    <row r="688" spans="1:27" x14ac:dyDescent="0.35">
      <c r="A688">
        <v>7944</v>
      </c>
      <c r="B688" t="s">
        <v>654</v>
      </c>
      <c r="C688" t="s">
        <v>667</v>
      </c>
      <c r="D688" t="s">
        <v>705</v>
      </c>
      <c r="E688" t="s">
        <v>21</v>
      </c>
      <c r="F688" t="s">
        <v>20</v>
      </c>
      <c r="G688" t="s">
        <v>20</v>
      </c>
      <c r="H688" t="s">
        <v>22</v>
      </c>
      <c r="I688" t="s">
        <v>23</v>
      </c>
      <c r="J688">
        <v>0</v>
      </c>
      <c r="K688" t="s">
        <v>21</v>
      </c>
      <c r="L688">
        <v>14</v>
      </c>
      <c r="M688">
        <v>0</v>
      </c>
      <c r="N688" t="s">
        <v>250</v>
      </c>
      <c r="O688" t="s">
        <v>52</v>
      </c>
      <c r="P688" t="s">
        <v>34</v>
      </c>
      <c r="Q688" t="s">
        <v>690</v>
      </c>
      <c r="R688" t="s">
        <v>47</v>
      </c>
      <c r="U688" t="str">
        <f t="shared" si="30"/>
        <v>Batting First Won</v>
      </c>
      <c r="X688" t="str">
        <f t="shared" si="31"/>
        <v>No</v>
      </c>
      <c r="AA688" t="str">
        <f t="shared" si="32"/>
        <v>2018</v>
      </c>
    </row>
    <row r="689" spans="1:27" x14ac:dyDescent="0.35">
      <c r="A689">
        <v>7945</v>
      </c>
      <c r="B689" t="s">
        <v>654</v>
      </c>
      <c r="C689" t="s">
        <v>71</v>
      </c>
      <c r="D689" t="s">
        <v>706</v>
      </c>
      <c r="E689" t="s">
        <v>49</v>
      </c>
      <c r="F689" t="s">
        <v>141</v>
      </c>
      <c r="G689" t="s">
        <v>141</v>
      </c>
      <c r="H689" t="s">
        <v>22</v>
      </c>
      <c r="I689" t="s">
        <v>23</v>
      </c>
      <c r="J689">
        <v>0</v>
      </c>
      <c r="K689" t="s">
        <v>49</v>
      </c>
      <c r="L689">
        <v>34</v>
      </c>
      <c r="M689">
        <v>0</v>
      </c>
      <c r="N689" t="s">
        <v>128</v>
      </c>
      <c r="O689" t="s">
        <v>73</v>
      </c>
      <c r="P689" t="s">
        <v>696</v>
      </c>
      <c r="Q689" t="s">
        <v>664</v>
      </c>
      <c r="R689" t="s">
        <v>665</v>
      </c>
      <c r="U689" t="str">
        <f t="shared" si="30"/>
        <v>Batting First Won</v>
      </c>
      <c r="X689" t="str">
        <f t="shared" si="31"/>
        <v>No</v>
      </c>
      <c r="AA689" t="str">
        <f t="shared" si="32"/>
        <v>2018</v>
      </c>
    </row>
    <row r="690" spans="1:27" x14ac:dyDescent="0.35">
      <c r="A690">
        <v>7946</v>
      </c>
      <c r="B690" t="s">
        <v>654</v>
      </c>
      <c r="C690" t="s">
        <v>158</v>
      </c>
      <c r="D690" t="s">
        <v>707</v>
      </c>
      <c r="E690" t="s">
        <v>146</v>
      </c>
      <c r="F690" t="s">
        <v>21</v>
      </c>
      <c r="G690" t="s">
        <v>146</v>
      </c>
      <c r="H690" t="s">
        <v>50</v>
      </c>
      <c r="I690" t="s">
        <v>23</v>
      </c>
      <c r="J690">
        <v>0</v>
      </c>
      <c r="K690" t="s">
        <v>146</v>
      </c>
      <c r="L690">
        <v>30</v>
      </c>
      <c r="M690">
        <v>0</v>
      </c>
      <c r="N690" t="s">
        <v>708</v>
      </c>
      <c r="O690" t="s">
        <v>161</v>
      </c>
      <c r="P690" t="s">
        <v>692</v>
      </c>
      <c r="Q690" t="s">
        <v>685</v>
      </c>
      <c r="R690" t="s">
        <v>47</v>
      </c>
      <c r="U690" t="str">
        <f t="shared" si="30"/>
        <v>Batting First Won</v>
      </c>
      <c r="X690" t="str">
        <f t="shared" si="31"/>
        <v>Yes</v>
      </c>
      <c r="AA690" t="str">
        <f t="shared" si="32"/>
        <v>2018</v>
      </c>
    </row>
    <row r="691" spans="1:27" x14ac:dyDescent="0.35">
      <c r="A691">
        <v>7947</v>
      </c>
      <c r="B691" t="s">
        <v>654</v>
      </c>
      <c r="C691" t="s">
        <v>19</v>
      </c>
      <c r="D691" t="s">
        <v>707</v>
      </c>
      <c r="E691" t="s">
        <v>20</v>
      </c>
      <c r="F691" t="s">
        <v>37</v>
      </c>
      <c r="G691" t="s">
        <v>20</v>
      </c>
      <c r="H691" t="s">
        <v>50</v>
      </c>
      <c r="I691" t="s">
        <v>23</v>
      </c>
      <c r="J691">
        <v>0</v>
      </c>
      <c r="K691" t="s">
        <v>37</v>
      </c>
      <c r="L691">
        <v>0</v>
      </c>
      <c r="M691">
        <v>5</v>
      </c>
      <c r="N691" t="s">
        <v>38</v>
      </c>
      <c r="O691" t="s">
        <v>25</v>
      </c>
      <c r="P691" t="s">
        <v>657</v>
      </c>
      <c r="Q691" t="s">
        <v>34</v>
      </c>
      <c r="R691" t="s">
        <v>690</v>
      </c>
      <c r="U691" t="str">
        <f t="shared" si="30"/>
        <v>Chasing Won</v>
      </c>
      <c r="X691" t="str">
        <f t="shared" si="31"/>
        <v>No</v>
      </c>
      <c r="AA691" t="str">
        <f t="shared" si="32"/>
        <v>2018</v>
      </c>
    </row>
    <row r="692" spans="1:27" x14ac:dyDescent="0.35">
      <c r="A692">
        <v>7948</v>
      </c>
      <c r="B692" t="s">
        <v>654</v>
      </c>
      <c r="C692" t="s">
        <v>71</v>
      </c>
      <c r="D692" t="s">
        <v>709</v>
      </c>
      <c r="E692" t="s">
        <v>49</v>
      </c>
      <c r="F692" t="s">
        <v>29</v>
      </c>
      <c r="G692" t="s">
        <v>49</v>
      </c>
      <c r="H692" t="s">
        <v>50</v>
      </c>
      <c r="I692" t="s">
        <v>23</v>
      </c>
      <c r="J692">
        <v>0</v>
      </c>
      <c r="K692" t="s">
        <v>49</v>
      </c>
      <c r="L692">
        <v>11</v>
      </c>
      <c r="M692">
        <v>0</v>
      </c>
      <c r="N692" t="s">
        <v>207</v>
      </c>
      <c r="O692" t="s">
        <v>73</v>
      </c>
      <c r="P692" t="s">
        <v>696</v>
      </c>
      <c r="Q692" t="s">
        <v>665</v>
      </c>
      <c r="R692" t="s">
        <v>664</v>
      </c>
      <c r="U692" t="str">
        <f t="shared" si="30"/>
        <v>Batting First Won</v>
      </c>
      <c r="X692" t="str">
        <f t="shared" si="31"/>
        <v>Yes</v>
      </c>
      <c r="AA692" t="str">
        <f t="shared" si="32"/>
        <v>2018</v>
      </c>
    </row>
    <row r="693" spans="1:27" x14ac:dyDescent="0.35">
      <c r="A693">
        <v>7949</v>
      </c>
      <c r="B693" t="s">
        <v>654</v>
      </c>
      <c r="C693" t="s">
        <v>28</v>
      </c>
      <c r="D693" t="s">
        <v>709</v>
      </c>
      <c r="E693" t="s">
        <v>43</v>
      </c>
      <c r="F693" t="s">
        <v>141</v>
      </c>
      <c r="G693" t="s">
        <v>141</v>
      </c>
      <c r="H693" t="s">
        <v>22</v>
      </c>
      <c r="I693" t="s">
        <v>23</v>
      </c>
      <c r="J693">
        <v>0</v>
      </c>
      <c r="K693" t="s">
        <v>141</v>
      </c>
      <c r="L693">
        <v>0</v>
      </c>
      <c r="M693">
        <v>5</v>
      </c>
      <c r="N693" t="s">
        <v>710</v>
      </c>
      <c r="O693" t="s">
        <v>32</v>
      </c>
      <c r="P693" t="s">
        <v>40</v>
      </c>
      <c r="Q693" t="s">
        <v>687</v>
      </c>
      <c r="R693" t="s">
        <v>695</v>
      </c>
      <c r="U693" t="str">
        <f t="shared" si="30"/>
        <v>Chasing Won</v>
      </c>
      <c r="X693" t="str">
        <f t="shared" si="31"/>
        <v>Yes</v>
      </c>
      <c r="AA693" t="str">
        <f t="shared" si="32"/>
        <v>2018</v>
      </c>
    </row>
    <row r="694" spans="1:27" x14ac:dyDescent="0.35">
      <c r="A694">
        <v>7950</v>
      </c>
      <c r="B694" t="s">
        <v>654</v>
      </c>
      <c r="C694" t="s">
        <v>55</v>
      </c>
      <c r="D694" t="s">
        <v>711</v>
      </c>
      <c r="E694" t="s">
        <v>20</v>
      </c>
      <c r="F694" t="s">
        <v>141</v>
      </c>
      <c r="G694" t="s">
        <v>141</v>
      </c>
      <c r="H694" t="s">
        <v>22</v>
      </c>
      <c r="I694" t="s">
        <v>23</v>
      </c>
      <c r="J694">
        <v>0</v>
      </c>
      <c r="K694" t="s">
        <v>141</v>
      </c>
      <c r="L694">
        <v>0</v>
      </c>
      <c r="M694">
        <v>2</v>
      </c>
      <c r="N694" t="s">
        <v>437</v>
      </c>
      <c r="O694" t="s">
        <v>57</v>
      </c>
      <c r="P694" t="s">
        <v>695</v>
      </c>
      <c r="Q694" t="s">
        <v>47</v>
      </c>
      <c r="R694" t="s">
        <v>34</v>
      </c>
      <c r="U694" t="str">
        <f t="shared" si="30"/>
        <v>Chasing Won</v>
      </c>
      <c r="X694" t="str">
        <f t="shared" si="31"/>
        <v>Yes</v>
      </c>
      <c r="AA694" t="str">
        <f t="shared" si="32"/>
        <v>2018</v>
      </c>
    </row>
    <row r="695" spans="1:27" x14ac:dyDescent="0.35">
      <c r="A695">
        <v>7951</v>
      </c>
      <c r="B695" t="s">
        <v>654</v>
      </c>
      <c r="C695" t="s">
        <v>61</v>
      </c>
      <c r="D695" t="s">
        <v>712</v>
      </c>
      <c r="E695" t="s">
        <v>37</v>
      </c>
      <c r="F695" t="s">
        <v>146</v>
      </c>
      <c r="G695" t="s">
        <v>146</v>
      </c>
      <c r="H695" t="s">
        <v>22</v>
      </c>
      <c r="I695" t="s">
        <v>23</v>
      </c>
      <c r="J695">
        <v>0</v>
      </c>
      <c r="K695" t="s">
        <v>37</v>
      </c>
      <c r="L695">
        <v>25</v>
      </c>
      <c r="M695">
        <v>0</v>
      </c>
      <c r="N695" t="s">
        <v>577</v>
      </c>
      <c r="O695" t="s">
        <v>64</v>
      </c>
      <c r="P695" t="s">
        <v>40</v>
      </c>
      <c r="Q695" t="s">
        <v>657</v>
      </c>
      <c r="R695" t="s">
        <v>696</v>
      </c>
      <c r="U695" t="str">
        <f t="shared" si="30"/>
        <v>Batting First Won</v>
      </c>
      <c r="X695" t="str">
        <f t="shared" si="31"/>
        <v>No</v>
      </c>
      <c r="AA695" t="str">
        <f t="shared" si="32"/>
        <v>2018</v>
      </c>
    </row>
    <row r="696" spans="1:27" x14ac:dyDescent="0.35">
      <c r="A696">
        <v>7952</v>
      </c>
      <c r="B696" t="s">
        <v>654</v>
      </c>
      <c r="C696" t="s">
        <v>61</v>
      </c>
      <c r="D696" t="s">
        <v>713</v>
      </c>
      <c r="E696" t="s">
        <v>20</v>
      </c>
      <c r="F696" t="s">
        <v>37</v>
      </c>
      <c r="G696" t="s">
        <v>37</v>
      </c>
      <c r="H696" t="s">
        <v>22</v>
      </c>
      <c r="I696" t="s">
        <v>23</v>
      </c>
      <c r="J696">
        <v>0</v>
      </c>
      <c r="K696" t="s">
        <v>20</v>
      </c>
      <c r="L696">
        <v>14</v>
      </c>
      <c r="M696">
        <v>0</v>
      </c>
      <c r="N696" t="s">
        <v>53</v>
      </c>
      <c r="O696" t="s">
        <v>64</v>
      </c>
      <c r="P696" t="s">
        <v>40</v>
      </c>
      <c r="Q696" t="s">
        <v>696</v>
      </c>
      <c r="R696" t="s">
        <v>657</v>
      </c>
      <c r="U696" t="str">
        <f t="shared" si="30"/>
        <v>Batting First Won</v>
      </c>
      <c r="X696" t="str">
        <f t="shared" si="31"/>
        <v>No</v>
      </c>
      <c r="AA696" t="str">
        <f t="shared" si="32"/>
        <v>2018</v>
      </c>
    </row>
    <row r="697" spans="1:27" x14ac:dyDescent="0.35">
      <c r="A697">
        <v>7953</v>
      </c>
      <c r="B697" t="s">
        <v>654</v>
      </c>
      <c r="C697" t="s">
        <v>55</v>
      </c>
      <c r="D697" t="s">
        <v>714</v>
      </c>
      <c r="E697" t="s">
        <v>20</v>
      </c>
      <c r="F697" t="s">
        <v>141</v>
      </c>
      <c r="G697" t="s">
        <v>141</v>
      </c>
      <c r="H697" t="s">
        <v>22</v>
      </c>
      <c r="I697" t="s">
        <v>23</v>
      </c>
      <c r="J697">
        <v>0</v>
      </c>
      <c r="K697" t="s">
        <v>141</v>
      </c>
      <c r="L697">
        <v>0</v>
      </c>
      <c r="M697">
        <v>8</v>
      </c>
      <c r="N697" t="s">
        <v>160</v>
      </c>
      <c r="O697" t="s">
        <v>57</v>
      </c>
      <c r="P697" t="s">
        <v>695</v>
      </c>
      <c r="Q697" t="s">
        <v>34</v>
      </c>
      <c r="R697" t="s">
        <v>40</v>
      </c>
      <c r="U697" t="str">
        <f t="shared" si="30"/>
        <v>Chasing Won</v>
      </c>
      <c r="X697" t="str">
        <f t="shared" si="31"/>
        <v>Yes</v>
      </c>
      <c r="AA697" t="str">
        <f t="shared" si="32"/>
        <v>2018</v>
      </c>
    </row>
    <row r="698" spans="1:27" x14ac:dyDescent="0.35">
      <c r="A698">
        <v>11137</v>
      </c>
      <c r="B698" t="s">
        <v>715</v>
      </c>
      <c r="C698" t="s">
        <v>167</v>
      </c>
      <c r="D698" t="s">
        <v>716</v>
      </c>
      <c r="E698" t="s">
        <v>21</v>
      </c>
      <c r="F698" t="s">
        <v>141</v>
      </c>
      <c r="G698" t="s">
        <v>141</v>
      </c>
      <c r="H698" t="s">
        <v>22</v>
      </c>
      <c r="I698" t="s">
        <v>23</v>
      </c>
      <c r="J698">
        <v>0</v>
      </c>
      <c r="K698" t="s">
        <v>141</v>
      </c>
      <c r="L698">
        <v>0</v>
      </c>
      <c r="M698">
        <v>7</v>
      </c>
      <c r="N698" t="s">
        <v>283</v>
      </c>
      <c r="O698" t="s">
        <v>717</v>
      </c>
      <c r="P698" t="s">
        <v>692</v>
      </c>
      <c r="Q698" t="s">
        <v>690</v>
      </c>
      <c r="R698" t="s">
        <v>40</v>
      </c>
      <c r="U698" t="str">
        <f t="shared" si="30"/>
        <v>Chasing Won</v>
      </c>
      <c r="X698" t="str">
        <f t="shared" si="31"/>
        <v>Yes</v>
      </c>
      <c r="AA698" t="str">
        <f t="shared" si="32"/>
        <v>2019</v>
      </c>
    </row>
    <row r="699" spans="1:27" x14ac:dyDescent="0.35">
      <c r="A699">
        <v>11138</v>
      </c>
      <c r="B699" t="s">
        <v>715</v>
      </c>
      <c r="C699" t="s">
        <v>61</v>
      </c>
      <c r="D699" t="s">
        <v>718</v>
      </c>
      <c r="E699" t="s">
        <v>20</v>
      </c>
      <c r="F699" t="s">
        <v>37</v>
      </c>
      <c r="G699" t="s">
        <v>37</v>
      </c>
      <c r="H699" t="s">
        <v>22</v>
      </c>
      <c r="I699" t="s">
        <v>23</v>
      </c>
      <c r="J699">
        <v>0</v>
      </c>
      <c r="K699" t="s">
        <v>37</v>
      </c>
      <c r="L699">
        <v>0</v>
      </c>
      <c r="M699">
        <v>6</v>
      </c>
      <c r="N699" t="s">
        <v>577</v>
      </c>
      <c r="O699" t="s">
        <v>64</v>
      </c>
      <c r="P699" t="s">
        <v>655</v>
      </c>
      <c r="Q699" t="s">
        <v>657</v>
      </c>
      <c r="R699" t="s">
        <v>664</v>
      </c>
      <c r="U699" t="str">
        <f t="shared" si="30"/>
        <v>Chasing Won</v>
      </c>
      <c r="X699" t="str">
        <f t="shared" si="31"/>
        <v>Yes</v>
      </c>
      <c r="AA699" t="str">
        <f t="shared" si="32"/>
        <v>2019</v>
      </c>
    </row>
    <row r="700" spans="1:27" x14ac:dyDescent="0.35">
      <c r="A700">
        <v>11139</v>
      </c>
      <c r="B700" t="s">
        <v>715</v>
      </c>
      <c r="C700" t="s">
        <v>55</v>
      </c>
      <c r="D700" t="s">
        <v>718</v>
      </c>
      <c r="E700" t="s">
        <v>719</v>
      </c>
      <c r="F700" t="s">
        <v>29</v>
      </c>
      <c r="G700" t="s">
        <v>29</v>
      </c>
      <c r="H700" t="s">
        <v>22</v>
      </c>
      <c r="I700" t="s">
        <v>23</v>
      </c>
      <c r="J700">
        <v>0</v>
      </c>
      <c r="K700" t="s">
        <v>719</v>
      </c>
      <c r="L700">
        <v>37</v>
      </c>
      <c r="M700">
        <v>0</v>
      </c>
      <c r="N700" t="s">
        <v>113</v>
      </c>
      <c r="O700" t="s">
        <v>57</v>
      </c>
      <c r="P700" t="s">
        <v>34</v>
      </c>
      <c r="Q700" t="s">
        <v>687</v>
      </c>
      <c r="R700" t="s">
        <v>665</v>
      </c>
      <c r="U700" t="str">
        <f t="shared" si="30"/>
        <v>Batting First Won</v>
      </c>
      <c r="X700" t="str">
        <f t="shared" si="31"/>
        <v>No</v>
      </c>
      <c r="AA700" t="str">
        <f t="shared" si="32"/>
        <v>2019</v>
      </c>
    </row>
    <row r="701" spans="1:27" x14ac:dyDescent="0.35">
      <c r="A701">
        <v>11140</v>
      </c>
      <c r="B701" t="s">
        <v>715</v>
      </c>
      <c r="C701" t="s">
        <v>158</v>
      </c>
      <c r="D701" t="s">
        <v>720</v>
      </c>
      <c r="E701" t="s">
        <v>43</v>
      </c>
      <c r="F701" t="s">
        <v>146</v>
      </c>
      <c r="G701" t="s">
        <v>146</v>
      </c>
      <c r="H701" t="s">
        <v>22</v>
      </c>
      <c r="I701" t="s">
        <v>23</v>
      </c>
      <c r="J701">
        <v>0</v>
      </c>
      <c r="K701" t="s">
        <v>43</v>
      </c>
      <c r="L701">
        <v>14</v>
      </c>
      <c r="M701">
        <v>0</v>
      </c>
      <c r="N701" t="s">
        <v>81</v>
      </c>
      <c r="O701" t="s">
        <v>161</v>
      </c>
      <c r="P701" t="s">
        <v>47</v>
      </c>
      <c r="Q701" t="s">
        <v>721</v>
      </c>
      <c r="R701" t="s">
        <v>692</v>
      </c>
      <c r="U701" t="str">
        <f t="shared" si="30"/>
        <v>Batting First Won</v>
      </c>
      <c r="X701" t="str">
        <f t="shared" si="31"/>
        <v>No</v>
      </c>
      <c r="AA701" t="str">
        <f t="shared" si="32"/>
        <v>2019</v>
      </c>
    </row>
    <row r="702" spans="1:27" x14ac:dyDescent="0.35">
      <c r="A702">
        <v>11141</v>
      </c>
      <c r="B702" t="s">
        <v>715</v>
      </c>
      <c r="C702" t="s">
        <v>71</v>
      </c>
      <c r="D702" t="s">
        <v>722</v>
      </c>
      <c r="E702" t="s">
        <v>719</v>
      </c>
      <c r="F702" t="s">
        <v>141</v>
      </c>
      <c r="G702" t="s">
        <v>719</v>
      </c>
      <c r="H702" t="s">
        <v>50</v>
      </c>
      <c r="I702" t="s">
        <v>23</v>
      </c>
      <c r="J702">
        <v>0</v>
      </c>
      <c r="K702" t="s">
        <v>141</v>
      </c>
      <c r="L702">
        <v>0</v>
      </c>
      <c r="M702">
        <v>6</v>
      </c>
      <c r="N702" t="s">
        <v>160</v>
      </c>
      <c r="O702" t="s">
        <v>723</v>
      </c>
      <c r="P702" t="s">
        <v>695</v>
      </c>
      <c r="Q702" t="s">
        <v>40</v>
      </c>
      <c r="R702" t="s">
        <v>690</v>
      </c>
      <c r="U702" t="str">
        <f t="shared" si="30"/>
        <v>Chasing Won</v>
      </c>
      <c r="X702" t="str">
        <f t="shared" si="31"/>
        <v>No</v>
      </c>
      <c r="AA702" t="str">
        <f t="shared" si="32"/>
        <v>2019</v>
      </c>
    </row>
    <row r="703" spans="1:27" x14ac:dyDescent="0.35">
      <c r="A703">
        <v>11142</v>
      </c>
      <c r="B703" t="s">
        <v>715</v>
      </c>
      <c r="C703" t="s">
        <v>61</v>
      </c>
      <c r="D703" t="s">
        <v>724</v>
      </c>
      <c r="E703" t="s">
        <v>37</v>
      </c>
      <c r="F703" t="s">
        <v>43</v>
      </c>
      <c r="G703" t="s">
        <v>43</v>
      </c>
      <c r="H703" t="s">
        <v>22</v>
      </c>
      <c r="I703" t="s">
        <v>23</v>
      </c>
      <c r="J703">
        <v>0</v>
      </c>
      <c r="K703" t="s">
        <v>37</v>
      </c>
      <c r="L703">
        <v>28</v>
      </c>
      <c r="M703">
        <v>0</v>
      </c>
      <c r="N703" t="s">
        <v>577</v>
      </c>
      <c r="O703" t="s">
        <v>64</v>
      </c>
      <c r="P703" t="s">
        <v>657</v>
      </c>
      <c r="Q703" t="s">
        <v>664</v>
      </c>
      <c r="R703" t="s">
        <v>655</v>
      </c>
      <c r="U703" t="str">
        <f t="shared" si="30"/>
        <v>Batting First Won</v>
      </c>
      <c r="X703" t="str">
        <f t="shared" si="31"/>
        <v>No</v>
      </c>
      <c r="AA703" t="str">
        <f t="shared" si="32"/>
        <v>2019</v>
      </c>
    </row>
    <row r="704" spans="1:27" x14ac:dyDescent="0.35">
      <c r="A704">
        <v>11143</v>
      </c>
      <c r="B704" t="s">
        <v>715</v>
      </c>
      <c r="C704" t="s">
        <v>667</v>
      </c>
      <c r="D704" t="s">
        <v>725</v>
      </c>
      <c r="E704" t="s">
        <v>29</v>
      </c>
      <c r="F704" t="s">
        <v>21</v>
      </c>
      <c r="G704" t="s">
        <v>21</v>
      </c>
      <c r="H704" t="s">
        <v>22</v>
      </c>
      <c r="I704" t="s">
        <v>23</v>
      </c>
      <c r="J704">
        <v>0</v>
      </c>
      <c r="K704" t="s">
        <v>29</v>
      </c>
      <c r="L704">
        <v>6</v>
      </c>
      <c r="M704">
        <v>0</v>
      </c>
      <c r="N704" t="s">
        <v>60</v>
      </c>
      <c r="O704" t="s">
        <v>726</v>
      </c>
      <c r="P704" t="s">
        <v>34</v>
      </c>
      <c r="Q704" t="s">
        <v>665</v>
      </c>
      <c r="R704" t="s">
        <v>687</v>
      </c>
      <c r="U704" t="str">
        <f t="shared" si="30"/>
        <v>Batting First Won</v>
      </c>
      <c r="X704" t="str">
        <f t="shared" si="31"/>
        <v>No</v>
      </c>
      <c r="AA704" t="str">
        <f t="shared" si="32"/>
        <v>2019</v>
      </c>
    </row>
    <row r="705" spans="1:27" x14ac:dyDescent="0.35">
      <c r="A705">
        <v>11144</v>
      </c>
      <c r="B705" t="s">
        <v>715</v>
      </c>
      <c r="C705" t="s">
        <v>19</v>
      </c>
      <c r="D705" t="s">
        <v>727</v>
      </c>
      <c r="E705" t="s">
        <v>146</v>
      </c>
      <c r="F705" t="s">
        <v>20</v>
      </c>
      <c r="G705" t="s">
        <v>146</v>
      </c>
      <c r="H705" t="s">
        <v>50</v>
      </c>
      <c r="I705" t="s">
        <v>23</v>
      </c>
      <c r="J705">
        <v>0</v>
      </c>
      <c r="K705" t="s">
        <v>20</v>
      </c>
      <c r="L705">
        <v>0</v>
      </c>
      <c r="M705">
        <v>5</v>
      </c>
      <c r="N705" t="s">
        <v>53</v>
      </c>
      <c r="O705" t="s">
        <v>728</v>
      </c>
      <c r="P705" t="s">
        <v>692</v>
      </c>
      <c r="Q705" t="s">
        <v>47</v>
      </c>
      <c r="R705" t="s">
        <v>721</v>
      </c>
      <c r="U705" t="str">
        <f t="shared" si="30"/>
        <v>Chasing Won</v>
      </c>
      <c r="X705" t="str">
        <f t="shared" si="31"/>
        <v>No</v>
      </c>
      <c r="AA705" t="str">
        <f t="shared" si="32"/>
        <v>2019</v>
      </c>
    </row>
    <row r="706" spans="1:27" x14ac:dyDescent="0.35">
      <c r="A706">
        <v>11145</v>
      </c>
      <c r="B706" t="s">
        <v>715</v>
      </c>
      <c r="C706" t="s">
        <v>658</v>
      </c>
      <c r="D706" t="s">
        <v>729</v>
      </c>
      <c r="E706" t="s">
        <v>29</v>
      </c>
      <c r="F706" t="s">
        <v>43</v>
      </c>
      <c r="G706" t="s">
        <v>43</v>
      </c>
      <c r="H706" t="s">
        <v>22</v>
      </c>
      <c r="I706" t="s">
        <v>23</v>
      </c>
      <c r="J706">
        <v>0</v>
      </c>
      <c r="K706" t="s">
        <v>43</v>
      </c>
      <c r="L706">
        <v>0</v>
      </c>
      <c r="M706">
        <v>8</v>
      </c>
      <c r="N706" t="s">
        <v>579</v>
      </c>
      <c r="O706" t="s">
        <v>730</v>
      </c>
      <c r="P706" t="s">
        <v>664</v>
      </c>
      <c r="Q706" t="s">
        <v>655</v>
      </c>
      <c r="R706" t="s">
        <v>657</v>
      </c>
      <c r="U706" t="str">
        <f t="shared" si="30"/>
        <v>Chasing Won</v>
      </c>
      <c r="X706" t="str">
        <f t="shared" si="31"/>
        <v>Yes</v>
      </c>
      <c r="AA706" t="str">
        <f t="shared" si="32"/>
        <v>2019</v>
      </c>
    </row>
    <row r="707" spans="1:27" x14ac:dyDescent="0.35">
      <c r="A707">
        <v>11146</v>
      </c>
      <c r="B707" t="s">
        <v>715</v>
      </c>
      <c r="C707" t="s">
        <v>71</v>
      </c>
      <c r="D707" t="s">
        <v>729</v>
      </c>
      <c r="E707" t="s">
        <v>37</v>
      </c>
      <c r="F707" t="s">
        <v>719</v>
      </c>
      <c r="G707" t="s">
        <v>719</v>
      </c>
      <c r="H707" t="s">
        <v>22</v>
      </c>
      <c r="I707" t="s">
        <v>105</v>
      </c>
      <c r="J707">
        <v>0</v>
      </c>
      <c r="K707" t="s">
        <v>719</v>
      </c>
      <c r="L707">
        <v>0</v>
      </c>
      <c r="M707">
        <v>0</v>
      </c>
      <c r="N707" t="s">
        <v>731</v>
      </c>
      <c r="O707" t="s">
        <v>723</v>
      </c>
      <c r="P707" t="s">
        <v>690</v>
      </c>
      <c r="Q707" t="s">
        <v>40</v>
      </c>
      <c r="R707" t="s">
        <v>695</v>
      </c>
      <c r="U707" t="str">
        <f t="shared" ref="U707:U757" si="33">IF(L707&gt;0,"Batting First Won","Chasing Won")</f>
        <v>Chasing Won</v>
      </c>
      <c r="X707" t="str">
        <f t="shared" ref="X707:X757" si="34">IF(G707=K707,"Yes","No")</f>
        <v>Yes</v>
      </c>
      <c r="AA707" t="str">
        <f t="shared" ref="AA707:AA757" si="35">RIGHT(B707,4)</f>
        <v>2019</v>
      </c>
    </row>
    <row r="708" spans="1:27" x14ac:dyDescent="0.35">
      <c r="A708">
        <v>11147</v>
      </c>
      <c r="B708" t="s">
        <v>715</v>
      </c>
      <c r="C708" t="s">
        <v>19</v>
      </c>
      <c r="D708" t="s">
        <v>732</v>
      </c>
      <c r="E708" t="s">
        <v>20</v>
      </c>
      <c r="F708" t="s">
        <v>21</v>
      </c>
      <c r="G708" t="s">
        <v>21</v>
      </c>
      <c r="H708" t="s">
        <v>22</v>
      </c>
      <c r="I708" t="s">
        <v>23</v>
      </c>
      <c r="J708">
        <v>0</v>
      </c>
      <c r="K708" t="s">
        <v>20</v>
      </c>
      <c r="L708">
        <v>118</v>
      </c>
      <c r="M708">
        <v>0</v>
      </c>
      <c r="N708" t="s">
        <v>733</v>
      </c>
      <c r="O708" t="s">
        <v>728</v>
      </c>
      <c r="P708" t="s">
        <v>34</v>
      </c>
      <c r="Q708" t="s">
        <v>721</v>
      </c>
      <c r="R708" t="s">
        <v>47</v>
      </c>
      <c r="U708" t="str">
        <f t="shared" si="33"/>
        <v>Batting First Won</v>
      </c>
      <c r="X708" t="str">
        <f t="shared" si="34"/>
        <v>No</v>
      </c>
      <c r="AA708" t="str">
        <f t="shared" si="35"/>
        <v>2019</v>
      </c>
    </row>
    <row r="709" spans="1:27" x14ac:dyDescent="0.35">
      <c r="A709">
        <v>11148</v>
      </c>
      <c r="B709" t="s">
        <v>715</v>
      </c>
      <c r="C709" t="s">
        <v>167</v>
      </c>
      <c r="D709" t="s">
        <v>732</v>
      </c>
      <c r="E709" t="s">
        <v>141</v>
      </c>
      <c r="F709" t="s">
        <v>146</v>
      </c>
      <c r="G709" t="s">
        <v>146</v>
      </c>
      <c r="H709" t="s">
        <v>22</v>
      </c>
      <c r="I709" t="s">
        <v>23</v>
      </c>
      <c r="J709">
        <v>0</v>
      </c>
      <c r="K709" t="s">
        <v>141</v>
      </c>
      <c r="L709">
        <v>8</v>
      </c>
      <c r="M709">
        <v>0</v>
      </c>
      <c r="N709" t="s">
        <v>93</v>
      </c>
      <c r="O709" t="s">
        <v>717</v>
      </c>
      <c r="P709" t="s">
        <v>665</v>
      </c>
      <c r="Q709" t="s">
        <v>687</v>
      </c>
      <c r="R709" t="s">
        <v>692</v>
      </c>
      <c r="U709" t="str">
        <f t="shared" si="33"/>
        <v>Batting First Won</v>
      </c>
      <c r="X709" t="str">
        <f t="shared" si="34"/>
        <v>No</v>
      </c>
      <c r="AA709" t="str">
        <f t="shared" si="35"/>
        <v>2019</v>
      </c>
    </row>
    <row r="710" spans="1:27" x14ac:dyDescent="0.35">
      <c r="A710">
        <v>11149</v>
      </c>
      <c r="B710" t="s">
        <v>715</v>
      </c>
      <c r="C710" t="s">
        <v>658</v>
      </c>
      <c r="D710" s="1">
        <v>43469</v>
      </c>
      <c r="E710" t="s">
        <v>43</v>
      </c>
      <c r="F710" t="s">
        <v>719</v>
      </c>
      <c r="G710" t="s">
        <v>719</v>
      </c>
      <c r="H710" t="s">
        <v>22</v>
      </c>
      <c r="I710" t="s">
        <v>23</v>
      </c>
      <c r="J710">
        <v>0</v>
      </c>
      <c r="K710" t="s">
        <v>43</v>
      </c>
      <c r="L710">
        <v>14</v>
      </c>
      <c r="M710">
        <v>0</v>
      </c>
      <c r="N710" t="s">
        <v>734</v>
      </c>
      <c r="O710" t="s">
        <v>730</v>
      </c>
      <c r="P710" t="s">
        <v>657</v>
      </c>
      <c r="Q710" t="s">
        <v>655</v>
      </c>
      <c r="R710" t="s">
        <v>664</v>
      </c>
      <c r="U710" t="str">
        <f t="shared" si="33"/>
        <v>Batting First Won</v>
      </c>
      <c r="X710" t="str">
        <f t="shared" si="34"/>
        <v>No</v>
      </c>
      <c r="AA710" t="str">
        <f t="shared" si="35"/>
        <v>2019</v>
      </c>
    </row>
    <row r="711" spans="1:27" x14ac:dyDescent="0.35">
      <c r="A711">
        <v>11150</v>
      </c>
      <c r="B711" t="s">
        <v>715</v>
      </c>
      <c r="C711" t="s">
        <v>158</v>
      </c>
      <c r="D711" s="1">
        <v>43500</v>
      </c>
      <c r="E711" t="s">
        <v>21</v>
      </c>
      <c r="F711" t="s">
        <v>146</v>
      </c>
      <c r="G711" t="s">
        <v>146</v>
      </c>
      <c r="H711" t="s">
        <v>22</v>
      </c>
      <c r="I711" t="s">
        <v>23</v>
      </c>
      <c r="J711">
        <v>0</v>
      </c>
      <c r="K711" t="s">
        <v>146</v>
      </c>
      <c r="L711">
        <v>0</v>
      </c>
      <c r="M711">
        <v>7</v>
      </c>
      <c r="N711" t="s">
        <v>708</v>
      </c>
      <c r="O711" t="s">
        <v>161</v>
      </c>
      <c r="P711" t="s">
        <v>695</v>
      </c>
      <c r="Q711" t="s">
        <v>690</v>
      </c>
      <c r="R711" t="s">
        <v>40</v>
      </c>
      <c r="U711" t="str">
        <f t="shared" si="33"/>
        <v>Chasing Won</v>
      </c>
      <c r="X711" t="str">
        <f t="shared" si="34"/>
        <v>Yes</v>
      </c>
      <c r="AA711" t="str">
        <f t="shared" si="35"/>
        <v>2019</v>
      </c>
    </row>
    <row r="712" spans="1:27" x14ac:dyDescent="0.35">
      <c r="A712">
        <v>11151</v>
      </c>
      <c r="B712" t="s">
        <v>715</v>
      </c>
      <c r="C712" t="s">
        <v>55</v>
      </c>
      <c r="D712" s="1">
        <v>43528</v>
      </c>
      <c r="E712" t="s">
        <v>29</v>
      </c>
      <c r="F712" t="s">
        <v>141</v>
      </c>
      <c r="G712" t="s">
        <v>141</v>
      </c>
      <c r="H712" t="s">
        <v>22</v>
      </c>
      <c r="I712" t="s">
        <v>23</v>
      </c>
      <c r="J712">
        <v>0</v>
      </c>
      <c r="K712" t="s">
        <v>29</v>
      </c>
      <c r="L712">
        <v>37</v>
      </c>
      <c r="M712">
        <v>0</v>
      </c>
      <c r="N712" t="s">
        <v>598</v>
      </c>
      <c r="O712" t="s">
        <v>57</v>
      </c>
      <c r="P712" t="s">
        <v>692</v>
      </c>
      <c r="Q712" t="s">
        <v>660</v>
      </c>
      <c r="R712" t="s">
        <v>687</v>
      </c>
      <c r="U712" t="str">
        <f t="shared" si="33"/>
        <v>Batting First Won</v>
      </c>
      <c r="X712" t="str">
        <f t="shared" si="34"/>
        <v>No</v>
      </c>
      <c r="AA712" t="str">
        <f t="shared" si="35"/>
        <v>2019</v>
      </c>
    </row>
    <row r="713" spans="1:27" x14ac:dyDescent="0.35">
      <c r="A713">
        <v>11152</v>
      </c>
      <c r="B713" t="s">
        <v>715</v>
      </c>
      <c r="C713" t="s">
        <v>71</v>
      </c>
      <c r="D713" s="1">
        <v>43559</v>
      </c>
      <c r="E713" t="s">
        <v>719</v>
      </c>
      <c r="F713" t="s">
        <v>20</v>
      </c>
      <c r="G713" t="s">
        <v>20</v>
      </c>
      <c r="H713" t="s">
        <v>22</v>
      </c>
      <c r="I713" t="s">
        <v>23</v>
      </c>
      <c r="J713">
        <v>0</v>
      </c>
      <c r="K713" t="s">
        <v>20</v>
      </c>
      <c r="L713">
        <v>0</v>
      </c>
      <c r="M713">
        <v>5</v>
      </c>
      <c r="N713" t="s">
        <v>733</v>
      </c>
      <c r="O713" t="s">
        <v>723</v>
      </c>
      <c r="P713" t="s">
        <v>47</v>
      </c>
      <c r="Q713" t="s">
        <v>721</v>
      </c>
      <c r="R713" t="s">
        <v>34</v>
      </c>
      <c r="U713" t="str">
        <f t="shared" si="33"/>
        <v>Chasing Won</v>
      </c>
      <c r="X713" t="str">
        <f t="shared" si="34"/>
        <v>Yes</v>
      </c>
      <c r="AA713" t="str">
        <f t="shared" si="35"/>
        <v>2019</v>
      </c>
    </row>
    <row r="714" spans="1:27" x14ac:dyDescent="0.35">
      <c r="A714">
        <v>11153</v>
      </c>
      <c r="B714" t="s">
        <v>715</v>
      </c>
      <c r="C714" t="s">
        <v>667</v>
      </c>
      <c r="D714" s="1">
        <v>43589</v>
      </c>
      <c r="E714" t="s">
        <v>21</v>
      </c>
      <c r="F714" t="s">
        <v>37</v>
      </c>
      <c r="G714" t="s">
        <v>37</v>
      </c>
      <c r="H714" t="s">
        <v>22</v>
      </c>
      <c r="I714" t="s">
        <v>23</v>
      </c>
      <c r="J714">
        <v>0</v>
      </c>
      <c r="K714" t="s">
        <v>37</v>
      </c>
      <c r="L714">
        <v>0</v>
      </c>
      <c r="M714">
        <v>5</v>
      </c>
      <c r="N714" t="s">
        <v>577</v>
      </c>
      <c r="O714" t="s">
        <v>726</v>
      </c>
      <c r="P714" t="s">
        <v>657</v>
      </c>
      <c r="Q714" t="s">
        <v>655</v>
      </c>
      <c r="R714" t="s">
        <v>665</v>
      </c>
      <c r="U714" t="str">
        <f t="shared" si="33"/>
        <v>Chasing Won</v>
      </c>
      <c r="X714" t="str">
        <f t="shared" si="34"/>
        <v>Yes</v>
      </c>
      <c r="AA714" t="str">
        <f t="shared" si="35"/>
        <v>2019</v>
      </c>
    </row>
    <row r="715" spans="1:27" x14ac:dyDescent="0.35">
      <c r="A715">
        <v>11309</v>
      </c>
      <c r="B715" t="s">
        <v>715</v>
      </c>
      <c r="C715" t="s">
        <v>167</v>
      </c>
      <c r="D715" s="1">
        <v>43620</v>
      </c>
      <c r="E715" t="s">
        <v>141</v>
      </c>
      <c r="F715" t="s">
        <v>43</v>
      </c>
      <c r="G715" t="s">
        <v>141</v>
      </c>
      <c r="H715" t="s">
        <v>50</v>
      </c>
      <c r="I715" t="s">
        <v>23</v>
      </c>
      <c r="J715">
        <v>0</v>
      </c>
      <c r="K715" t="s">
        <v>141</v>
      </c>
      <c r="L715">
        <v>22</v>
      </c>
      <c r="M715">
        <v>0</v>
      </c>
      <c r="N715" t="s">
        <v>283</v>
      </c>
      <c r="O715" t="s">
        <v>717</v>
      </c>
      <c r="P715" t="s">
        <v>67</v>
      </c>
      <c r="Q715" t="s">
        <v>660</v>
      </c>
      <c r="R715" t="s">
        <v>47</v>
      </c>
      <c r="U715" t="str">
        <f t="shared" si="33"/>
        <v>Batting First Won</v>
      </c>
      <c r="X715" t="str">
        <f t="shared" si="34"/>
        <v>Yes</v>
      </c>
      <c r="AA715" t="str">
        <f t="shared" si="35"/>
        <v>2019</v>
      </c>
    </row>
    <row r="716" spans="1:27" x14ac:dyDescent="0.35">
      <c r="A716">
        <v>11310</v>
      </c>
      <c r="B716" t="s">
        <v>715</v>
      </c>
      <c r="C716" t="s">
        <v>19</v>
      </c>
      <c r="D716" s="1">
        <v>43620</v>
      </c>
      <c r="E716" t="s">
        <v>29</v>
      </c>
      <c r="F716" t="s">
        <v>20</v>
      </c>
      <c r="G716" t="s">
        <v>20</v>
      </c>
      <c r="H716" t="s">
        <v>22</v>
      </c>
      <c r="I716" t="s">
        <v>23</v>
      </c>
      <c r="J716">
        <v>0</v>
      </c>
      <c r="K716" t="s">
        <v>29</v>
      </c>
      <c r="L716">
        <v>40</v>
      </c>
      <c r="M716">
        <v>0</v>
      </c>
      <c r="N716" t="s">
        <v>735</v>
      </c>
      <c r="O716" t="s">
        <v>728</v>
      </c>
      <c r="P716" t="s">
        <v>690</v>
      </c>
      <c r="Q716" t="s">
        <v>40</v>
      </c>
      <c r="R716" t="s">
        <v>695</v>
      </c>
      <c r="U716" t="str">
        <f t="shared" si="33"/>
        <v>Batting First Won</v>
      </c>
      <c r="X716" t="str">
        <f t="shared" si="34"/>
        <v>No</v>
      </c>
      <c r="AA716" t="str">
        <f t="shared" si="35"/>
        <v>2019</v>
      </c>
    </row>
    <row r="717" spans="1:27" x14ac:dyDescent="0.35">
      <c r="A717">
        <v>11311</v>
      </c>
      <c r="B717" t="s">
        <v>715</v>
      </c>
      <c r="C717" t="s">
        <v>667</v>
      </c>
      <c r="D717" s="1">
        <v>43650</v>
      </c>
      <c r="E717" t="s">
        <v>21</v>
      </c>
      <c r="F717" t="s">
        <v>719</v>
      </c>
      <c r="G717" t="s">
        <v>719</v>
      </c>
      <c r="H717" t="s">
        <v>22</v>
      </c>
      <c r="I717" t="s">
        <v>23</v>
      </c>
      <c r="J717">
        <v>0</v>
      </c>
      <c r="K717" t="s">
        <v>719</v>
      </c>
      <c r="L717">
        <v>0</v>
      </c>
      <c r="M717">
        <v>4</v>
      </c>
      <c r="N717" t="s">
        <v>736</v>
      </c>
      <c r="O717" t="s">
        <v>726</v>
      </c>
      <c r="P717" t="s">
        <v>34</v>
      </c>
      <c r="Q717" t="s">
        <v>687</v>
      </c>
      <c r="R717" t="s">
        <v>665</v>
      </c>
      <c r="U717" t="str">
        <f t="shared" si="33"/>
        <v>Chasing Won</v>
      </c>
      <c r="X717" t="str">
        <f t="shared" si="34"/>
        <v>Yes</v>
      </c>
      <c r="AA717" t="str">
        <f t="shared" si="35"/>
        <v>2019</v>
      </c>
    </row>
    <row r="718" spans="1:27" x14ac:dyDescent="0.35">
      <c r="A718">
        <v>11312</v>
      </c>
      <c r="B718" t="s">
        <v>715</v>
      </c>
      <c r="C718" t="s">
        <v>158</v>
      </c>
      <c r="D718" s="1">
        <v>43650</v>
      </c>
      <c r="E718" t="s">
        <v>146</v>
      </c>
      <c r="F718" t="s">
        <v>37</v>
      </c>
      <c r="G718" t="s">
        <v>37</v>
      </c>
      <c r="H718" t="s">
        <v>22</v>
      </c>
      <c r="I718" t="s">
        <v>23</v>
      </c>
      <c r="J718">
        <v>0</v>
      </c>
      <c r="K718" t="s">
        <v>37</v>
      </c>
      <c r="L718">
        <v>0</v>
      </c>
      <c r="M718">
        <v>8</v>
      </c>
      <c r="N718" t="s">
        <v>737</v>
      </c>
      <c r="O718" t="s">
        <v>161</v>
      </c>
      <c r="P718" t="s">
        <v>655</v>
      </c>
      <c r="Q718" t="s">
        <v>657</v>
      </c>
      <c r="R718" t="s">
        <v>692</v>
      </c>
      <c r="U718" t="str">
        <f t="shared" si="33"/>
        <v>Chasing Won</v>
      </c>
      <c r="X718" t="str">
        <f t="shared" si="34"/>
        <v>Yes</v>
      </c>
      <c r="AA718" t="str">
        <f t="shared" si="35"/>
        <v>2019</v>
      </c>
    </row>
    <row r="719" spans="1:27" x14ac:dyDescent="0.35">
      <c r="A719">
        <v>11313</v>
      </c>
      <c r="B719" t="s">
        <v>715</v>
      </c>
      <c r="C719" t="s">
        <v>658</v>
      </c>
      <c r="D719" s="1">
        <v>43681</v>
      </c>
      <c r="E719" t="s">
        <v>20</v>
      </c>
      <c r="F719" t="s">
        <v>43</v>
      </c>
      <c r="G719" t="s">
        <v>43</v>
      </c>
      <c r="H719" t="s">
        <v>22</v>
      </c>
      <c r="I719" t="s">
        <v>23</v>
      </c>
      <c r="J719">
        <v>0</v>
      </c>
      <c r="K719" t="s">
        <v>43</v>
      </c>
      <c r="L719">
        <v>0</v>
      </c>
      <c r="M719">
        <v>6</v>
      </c>
      <c r="N719" t="s">
        <v>659</v>
      </c>
      <c r="O719" t="s">
        <v>730</v>
      </c>
      <c r="P719" t="s">
        <v>695</v>
      </c>
      <c r="Q719" t="s">
        <v>690</v>
      </c>
      <c r="R719" t="s">
        <v>40</v>
      </c>
      <c r="U719" t="str">
        <f t="shared" si="33"/>
        <v>Chasing Won</v>
      </c>
      <c r="X719" t="str">
        <f t="shared" si="34"/>
        <v>Yes</v>
      </c>
      <c r="AA719" t="str">
        <f t="shared" si="35"/>
        <v>2019</v>
      </c>
    </row>
    <row r="720" spans="1:27" x14ac:dyDescent="0.35">
      <c r="A720">
        <v>11314</v>
      </c>
      <c r="B720" t="s">
        <v>715</v>
      </c>
      <c r="C720" t="s">
        <v>167</v>
      </c>
      <c r="D720" s="1">
        <v>43712</v>
      </c>
      <c r="E720" t="s">
        <v>37</v>
      </c>
      <c r="F720" t="s">
        <v>141</v>
      </c>
      <c r="G720" t="s">
        <v>141</v>
      </c>
      <c r="H720" t="s">
        <v>22</v>
      </c>
      <c r="I720" t="s">
        <v>23</v>
      </c>
      <c r="J720">
        <v>0</v>
      </c>
      <c r="K720" t="s">
        <v>141</v>
      </c>
      <c r="L720">
        <v>0</v>
      </c>
      <c r="M720">
        <v>7</v>
      </c>
      <c r="N720" t="s">
        <v>738</v>
      </c>
      <c r="O720" t="s">
        <v>717</v>
      </c>
      <c r="P720" t="s">
        <v>660</v>
      </c>
      <c r="Q720" t="s">
        <v>47</v>
      </c>
      <c r="R720" t="s">
        <v>739</v>
      </c>
      <c r="U720" t="str">
        <f t="shared" si="33"/>
        <v>Chasing Won</v>
      </c>
      <c r="X720" t="str">
        <f t="shared" si="34"/>
        <v>Yes</v>
      </c>
      <c r="AA720" t="str">
        <f t="shared" si="35"/>
        <v>2019</v>
      </c>
    </row>
    <row r="721" spans="1:27" x14ac:dyDescent="0.35">
      <c r="A721">
        <v>11315</v>
      </c>
      <c r="B721" t="s">
        <v>715</v>
      </c>
      <c r="C721" t="s">
        <v>55</v>
      </c>
      <c r="D721" s="1">
        <v>43742</v>
      </c>
      <c r="E721" t="s">
        <v>43</v>
      </c>
      <c r="F721" t="s">
        <v>29</v>
      </c>
      <c r="G721" t="s">
        <v>29</v>
      </c>
      <c r="H721" t="s">
        <v>22</v>
      </c>
      <c r="I721" t="s">
        <v>23</v>
      </c>
      <c r="J721">
        <v>0</v>
      </c>
      <c r="K721" t="s">
        <v>29</v>
      </c>
      <c r="L721">
        <v>0</v>
      </c>
      <c r="M721">
        <v>3</v>
      </c>
      <c r="N721" t="s">
        <v>66</v>
      </c>
      <c r="O721" t="s">
        <v>57</v>
      </c>
      <c r="P721" t="s">
        <v>687</v>
      </c>
      <c r="Q721" t="s">
        <v>34</v>
      </c>
      <c r="R721" t="s">
        <v>665</v>
      </c>
      <c r="U721" t="str">
        <f t="shared" si="33"/>
        <v>Chasing Won</v>
      </c>
      <c r="X721" t="str">
        <f t="shared" si="34"/>
        <v>Yes</v>
      </c>
      <c r="AA721" t="str">
        <f t="shared" si="35"/>
        <v>2019</v>
      </c>
    </row>
    <row r="722" spans="1:27" x14ac:dyDescent="0.35">
      <c r="A722">
        <v>11316</v>
      </c>
      <c r="B722" t="s">
        <v>715</v>
      </c>
      <c r="C722" t="s">
        <v>158</v>
      </c>
      <c r="D722" s="1">
        <v>43773</v>
      </c>
      <c r="E722" t="s">
        <v>146</v>
      </c>
      <c r="F722" t="s">
        <v>141</v>
      </c>
      <c r="G722" t="s">
        <v>141</v>
      </c>
      <c r="H722" t="s">
        <v>22</v>
      </c>
      <c r="I722" t="s">
        <v>23</v>
      </c>
      <c r="J722">
        <v>0</v>
      </c>
      <c r="K722" t="s">
        <v>141</v>
      </c>
      <c r="L722">
        <v>0</v>
      </c>
      <c r="M722">
        <v>4</v>
      </c>
      <c r="N722" t="s">
        <v>93</v>
      </c>
      <c r="O722" t="s">
        <v>161</v>
      </c>
      <c r="P722" t="s">
        <v>692</v>
      </c>
      <c r="Q722" t="s">
        <v>739</v>
      </c>
      <c r="R722" t="s">
        <v>655</v>
      </c>
      <c r="U722" t="str">
        <f t="shared" si="33"/>
        <v>Chasing Won</v>
      </c>
      <c r="X722" t="str">
        <f t="shared" si="34"/>
        <v>Yes</v>
      </c>
      <c r="AA722" t="str">
        <f t="shared" si="35"/>
        <v>2019</v>
      </c>
    </row>
    <row r="723" spans="1:27" x14ac:dyDescent="0.35">
      <c r="A723">
        <v>11317</v>
      </c>
      <c r="B723" t="s">
        <v>715</v>
      </c>
      <c r="C723" t="s">
        <v>61</v>
      </c>
      <c r="D723" s="1">
        <v>43803</v>
      </c>
      <c r="E723" t="s">
        <v>37</v>
      </c>
      <c r="F723" t="s">
        <v>719</v>
      </c>
      <c r="G723" t="s">
        <v>719</v>
      </c>
      <c r="H723" t="s">
        <v>22</v>
      </c>
      <c r="I723" t="s">
        <v>23</v>
      </c>
      <c r="J723">
        <v>0</v>
      </c>
      <c r="K723" t="s">
        <v>719</v>
      </c>
      <c r="L723">
        <v>0</v>
      </c>
      <c r="M723">
        <v>7</v>
      </c>
      <c r="N723" t="s">
        <v>117</v>
      </c>
      <c r="O723" t="s">
        <v>64</v>
      </c>
      <c r="P723" t="s">
        <v>687</v>
      </c>
      <c r="Q723" t="s">
        <v>665</v>
      </c>
      <c r="R723" t="s">
        <v>660</v>
      </c>
      <c r="U723" t="str">
        <f t="shared" si="33"/>
        <v>Chasing Won</v>
      </c>
      <c r="X723" t="str">
        <f t="shared" si="34"/>
        <v>Yes</v>
      </c>
      <c r="AA723" t="str">
        <f t="shared" si="35"/>
        <v>2019</v>
      </c>
    </row>
    <row r="724" spans="1:27" x14ac:dyDescent="0.35">
      <c r="A724">
        <v>11318</v>
      </c>
      <c r="B724" t="s">
        <v>715</v>
      </c>
      <c r="C724" t="s">
        <v>55</v>
      </c>
      <c r="D724" t="s">
        <v>740</v>
      </c>
      <c r="E724" t="s">
        <v>29</v>
      </c>
      <c r="F724" t="s">
        <v>146</v>
      </c>
      <c r="G724" t="s">
        <v>146</v>
      </c>
      <c r="H724" t="s">
        <v>22</v>
      </c>
      <c r="I724" t="s">
        <v>23</v>
      </c>
      <c r="J724">
        <v>0</v>
      </c>
      <c r="K724" t="s">
        <v>146</v>
      </c>
      <c r="L724">
        <v>0</v>
      </c>
      <c r="M724">
        <v>4</v>
      </c>
      <c r="N724" t="s">
        <v>87</v>
      </c>
      <c r="O724" t="s">
        <v>57</v>
      </c>
      <c r="P724" t="s">
        <v>40</v>
      </c>
      <c r="Q724" t="s">
        <v>741</v>
      </c>
      <c r="R724" t="s">
        <v>695</v>
      </c>
      <c r="U724" t="str">
        <f t="shared" si="33"/>
        <v>Chasing Won</v>
      </c>
      <c r="X724" t="str">
        <f t="shared" si="34"/>
        <v>Yes</v>
      </c>
      <c r="AA724" t="str">
        <f t="shared" si="35"/>
        <v>2019</v>
      </c>
    </row>
    <row r="725" spans="1:27" x14ac:dyDescent="0.35">
      <c r="A725">
        <v>11319</v>
      </c>
      <c r="B725" t="s">
        <v>715</v>
      </c>
      <c r="C725" t="s">
        <v>658</v>
      </c>
      <c r="D725" t="s">
        <v>740</v>
      </c>
      <c r="E725" t="s">
        <v>43</v>
      </c>
      <c r="F725" t="s">
        <v>21</v>
      </c>
      <c r="G725" t="s">
        <v>21</v>
      </c>
      <c r="H725" t="s">
        <v>22</v>
      </c>
      <c r="I725" t="s">
        <v>23</v>
      </c>
      <c r="J725">
        <v>0</v>
      </c>
      <c r="K725" t="s">
        <v>21</v>
      </c>
      <c r="L725">
        <v>0</v>
      </c>
      <c r="M725">
        <v>8</v>
      </c>
      <c r="N725" t="s">
        <v>250</v>
      </c>
      <c r="O725" t="s">
        <v>730</v>
      </c>
      <c r="P725" t="s">
        <v>34</v>
      </c>
      <c r="Q725" t="s">
        <v>739</v>
      </c>
      <c r="R725" t="s">
        <v>663</v>
      </c>
      <c r="U725" t="str">
        <f t="shared" si="33"/>
        <v>Chasing Won</v>
      </c>
      <c r="X725" t="str">
        <f t="shared" si="34"/>
        <v>Yes</v>
      </c>
      <c r="AA725" t="str">
        <f t="shared" si="35"/>
        <v>2019</v>
      </c>
    </row>
    <row r="726" spans="1:27" x14ac:dyDescent="0.35">
      <c r="A726">
        <v>11320</v>
      </c>
      <c r="B726" t="s">
        <v>715</v>
      </c>
      <c r="C726" t="s">
        <v>61</v>
      </c>
      <c r="D726" t="s">
        <v>742</v>
      </c>
      <c r="E726" t="s">
        <v>37</v>
      </c>
      <c r="F726" t="s">
        <v>141</v>
      </c>
      <c r="G726" t="s">
        <v>141</v>
      </c>
      <c r="H726" t="s">
        <v>22</v>
      </c>
      <c r="I726" t="s">
        <v>23</v>
      </c>
      <c r="J726">
        <v>0</v>
      </c>
      <c r="K726" t="s">
        <v>141</v>
      </c>
      <c r="L726">
        <v>0</v>
      </c>
      <c r="M726">
        <v>5</v>
      </c>
      <c r="N726" t="s">
        <v>743</v>
      </c>
      <c r="O726" t="s">
        <v>64</v>
      </c>
      <c r="P726" t="s">
        <v>660</v>
      </c>
      <c r="Q726" t="s">
        <v>665</v>
      </c>
      <c r="R726" t="s">
        <v>687</v>
      </c>
      <c r="U726" t="str">
        <f t="shared" si="33"/>
        <v>Chasing Won</v>
      </c>
      <c r="X726" t="str">
        <f t="shared" si="34"/>
        <v>Yes</v>
      </c>
      <c r="AA726" t="str">
        <f t="shared" si="35"/>
        <v>2019</v>
      </c>
    </row>
    <row r="727" spans="1:27" x14ac:dyDescent="0.35">
      <c r="A727">
        <v>11321</v>
      </c>
      <c r="B727" t="s">
        <v>715</v>
      </c>
      <c r="C727" t="s">
        <v>19</v>
      </c>
      <c r="D727" t="s">
        <v>742</v>
      </c>
      <c r="E727" t="s">
        <v>719</v>
      </c>
      <c r="F727" t="s">
        <v>20</v>
      </c>
      <c r="G727" t="s">
        <v>20</v>
      </c>
      <c r="H727" t="s">
        <v>22</v>
      </c>
      <c r="I727" t="s">
        <v>23</v>
      </c>
      <c r="J727">
        <v>0</v>
      </c>
      <c r="K727" t="s">
        <v>719</v>
      </c>
      <c r="L727">
        <v>39</v>
      </c>
      <c r="M727">
        <v>0</v>
      </c>
      <c r="N727" t="s">
        <v>744</v>
      </c>
      <c r="O727" t="s">
        <v>728</v>
      </c>
      <c r="P727" t="s">
        <v>657</v>
      </c>
      <c r="Q727" t="s">
        <v>692</v>
      </c>
      <c r="R727" t="s">
        <v>655</v>
      </c>
      <c r="U727" t="str">
        <f t="shared" si="33"/>
        <v>Batting First Won</v>
      </c>
      <c r="X727" t="str">
        <f t="shared" si="34"/>
        <v>No</v>
      </c>
      <c r="AA727" t="str">
        <f t="shared" si="35"/>
        <v>2019</v>
      </c>
    </row>
    <row r="728" spans="1:27" x14ac:dyDescent="0.35">
      <c r="A728">
        <v>11322</v>
      </c>
      <c r="B728" t="s">
        <v>715</v>
      </c>
      <c r="C728" t="s">
        <v>55</v>
      </c>
      <c r="D728" t="s">
        <v>745</v>
      </c>
      <c r="E728" t="s">
        <v>21</v>
      </c>
      <c r="F728" t="s">
        <v>29</v>
      </c>
      <c r="G728" t="s">
        <v>29</v>
      </c>
      <c r="H728" t="s">
        <v>22</v>
      </c>
      <c r="I728" t="s">
        <v>23</v>
      </c>
      <c r="J728">
        <v>0</v>
      </c>
      <c r="K728" t="s">
        <v>29</v>
      </c>
      <c r="L728">
        <v>0</v>
      </c>
      <c r="M728">
        <v>5</v>
      </c>
      <c r="N728" t="s">
        <v>337</v>
      </c>
      <c r="O728" t="s">
        <v>57</v>
      </c>
      <c r="P728" t="s">
        <v>695</v>
      </c>
      <c r="Q728" t="s">
        <v>40</v>
      </c>
      <c r="R728" t="s">
        <v>741</v>
      </c>
      <c r="U728" t="str">
        <f t="shared" si="33"/>
        <v>Chasing Won</v>
      </c>
      <c r="X728" t="str">
        <f t="shared" si="34"/>
        <v>Yes</v>
      </c>
      <c r="AA728" t="str">
        <f t="shared" si="35"/>
        <v>2019</v>
      </c>
    </row>
    <row r="729" spans="1:27" x14ac:dyDescent="0.35">
      <c r="A729">
        <v>11323</v>
      </c>
      <c r="B729" t="s">
        <v>715</v>
      </c>
      <c r="C729" t="s">
        <v>658</v>
      </c>
      <c r="D729" t="s">
        <v>746</v>
      </c>
      <c r="E729" t="s">
        <v>43</v>
      </c>
      <c r="F729" t="s">
        <v>146</v>
      </c>
      <c r="G729" t="s">
        <v>146</v>
      </c>
      <c r="H729" t="s">
        <v>22</v>
      </c>
      <c r="I729" t="s">
        <v>23</v>
      </c>
      <c r="J729">
        <v>0</v>
      </c>
      <c r="K729" t="s">
        <v>43</v>
      </c>
      <c r="L729">
        <v>12</v>
      </c>
      <c r="M729">
        <v>0</v>
      </c>
      <c r="N729" t="s">
        <v>350</v>
      </c>
      <c r="O729" t="s">
        <v>730</v>
      </c>
      <c r="P729" t="s">
        <v>657</v>
      </c>
      <c r="Q729" t="s">
        <v>664</v>
      </c>
      <c r="R729" t="s">
        <v>34</v>
      </c>
      <c r="U729" t="str">
        <f t="shared" si="33"/>
        <v>Batting First Won</v>
      </c>
      <c r="X729" t="str">
        <f t="shared" si="34"/>
        <v>No</v>
      </c>
      <c r="AA729" t="str">
        <f t="shared" si="35"/>
        <v>2019</v>
      </c>
    </row>
    <row r="730" spans="1:27" x14ac:dyDescent="0.35">
      <c r="A730">
        <v>11324</v>
      </c>
      <c r="B730" t="s">
        <v>715</v>
      </c>
      <c r="C730" t="s">
        <v>19</v>
      </c>
      <c r="D730" t="s">
        <v>747</v>
      </c>
      <c r="E730" t="s">
        <v>141</v>
      </c>
      <c r="F730" t="s">
        <v>20</v>
      </c>
      <c r="G730" t="s">
        <v>141</v>
      </c>
      <c r="H730" t="s">
        <v>50</v>
      </c>
      <c r="I730" t="s">
        <v>23</v>
      </c>
      <c r="J730">
        <v>0</v>
      </c>
      <c r="K730" t="s">
        <v>20</v>
      </c>
      <c r="L730">
        <v>0</v>
      </c>
      <c r="M730">
        <v>6</v>
      </c>
      <c r="N730" t="s">
        <v>109</v>
      </c>
      <c r="O730" t="s">
        <v>728</v>
      </c>
      <c r="P730" t="s">
        <v>748</v>
      </c>
      <c r="Q730" t="s">
        <v>739</v>
      </c>
      <c r="R730" t="s">
        <v>47</v>
      </c>
      <c r="U730" t="str">
        <f t="shared" si="33"/>
        <v>Chasing Won</v>
      </c>
      <c r="X730" t="str">
        <f t="shared" si="34"/>
        <v>No</v>
      </c>
      <c r="AA730" t="str">
        <f t="shared" si="35"/>
        <v>2019</v>
      </c>
    </row>
    <row r="731" spans="1:27" x14ac:dyDescent="0.35">
      <c r="A731">
        <v>11325</v>
      </c>
      <c r="B731" t="s">
        <v>715</v>
      </c>
      <c r="C731" t="s">
        <v>71</v>
      </c>
      <c r="D731" t="s">
        <v>749</v>
      </c>
      <c r="E731" t="s">
        <v>29</v>
      </c>
      <c r="F731" t="s">
        <v>719</v>
      </c>
      <c r="G731" t="s">
        <v>29</v>
      </c>
      <c r="H731" t="s">
        <v>50</v>
      </c>
      <c r="I731" t="s">
        <v>23</v>
      </c>
      <c r="J731">
        <v>0</v>
      </c>
      <c r="K731" t="s">
        <v>29</v>
      </c>
      <c r="L731">
        <v>40</v>
      </c>
      <c r="M731">
        <v>0</v>
      </c>
      <c r="N731" t="s">
        <v>598</v>
      </c>
      <c r="O731" t="s">
        <v>723</v>
      </c>
      <c r="P731" t="s">
        <v>663</v>
      </c>
      <c r="Q731" t="s">
        <v>692</v>
      </c>
      <c r="R731" t="s">
        <v>657</v>
      </c>
      <c r="U731" t="str">
        <f t="shared" si="33"/>
        <v>Batting First Won</v>
      </c>
      <c r="X731" t="str">
        <f t="shared" si="34"/>
        <v>Yes</v>
      </c>
      <c r="AA731" t="str">
        <f t="shared" si="35"/>
        <v>2019</v>
      </c>
    </row>
    <row r="732" spans="1:27" x14ac:dyDescent="0.35">
      <c r="A732">
        <v>11326</v>
      </c>
      <c r="B732" t="s">
        <v>715</v>
      </c>
      <c r="C732" t="s">
        <v>61</v>
      </c>
      <c r="D732" t="s">
        <v>750</v>
      </c>
      <c r="E732" t="s">
        <v>21</v>
      </c>
      <c r="F732" t="s">
        <v>37</v>
      </c>
      <c r="G732" t="s">
        <v>37</v>
      </c>
      <c r="H732" t="s">
        <v>22</v>
      </c>
      <c r="I732" t="s">
        <v>23</v>
      </c>
      <c r="J732">
        <v>0</v>
      </c>
      <c r="K732" t="s">
        <v>21</v>
      </c>
      <c r="L732">
        <v>10</v>
      </c>
      <c r="M732">
        <v>0</v>
      </c>
      <c r="N732" t="s">
        <v>396</v>
      </c>
      <c r="O732" t="s">
        <v>64</v>
      </c>
      <c r="P732" t="s">
        <v>748</v>
      </c>
      <c r="Q732" t="s">
        <v>40</v>
      </c>
      <c r="R732" t="s">
        <v>690</v>
      </c>
      <c r="U732" t="str">
        <f t="shared" si="33"/>
        <v>Batting First Won</v>
      </c>
      <c r="X732" t="str">
        <f t="shared" si="34"/>
        <v>No</v>
      </c>
      <c r="AA732" t="str">
        <f t="shared" si="35"/>
        <v>2019</v>
      </c>
    </row>
    <row r="733" spans="1:27" x14ac:dyDescent="0.35">
      <c r="A733">
        <v>11327</v>
      </c>
      <c r="B733" t="s">
        <v>715</v>
      </c>
      <c r="C733" t="s">
        <v>158</v>
      </c>
      <c r="D733" t="s">
        <v>751</v>
      </c>
      <c r="E733" t="s">
        <v>29</v>
      </c>
      <c r="F733" t="s">
        <v>146</v>
      </c>
      <c r="G733" t="s">
        <v>146</v>
      </c>
      <c r="H733" t="s">
        <v>22</v>
      </c>
      <c r="I733" t="s">
        <v>23</v>
      </c>
      <c r="J733">
        <v>0</v>
      </c>
      <c r="K733" t="s">
        <v>146</v>
      </c>
      <c r="L733">
        <v>0</v>
      </c>
      <c r="M733">
        <v>5</v>
      </c>
      <c r="N733" t="s">
        <v>31</v>
      </c>
      <c r="O733" t="s">
        <v>161</v>
      </c>
      <c r="P733" t="s">
        <v>34</v>
      </c>
      <c r="Q733" t="s">
        <v>687</v>
      </c>
      <c r="R733" t="s">
        <v>665</v>
      </c>
      <c r="U733" t="str">
        <f t="shared" si="33"/>
        <v>Chasing Won</v>
      </c>
      <c r="X733" t="str">
        <f t="shared" si="34"/>
        <v>Yes</v>
      </c>
      <c r="AA733" t="str">
        <f t="shared" si="35"/>
        <v>2019</v>
      </c>
    </row>
    <row r="734" spans="1:27" x14ac:dyDescent="0.35">
      <c r="A734">
        <v>11328</v>
      </c>
      <c r="B734" t="s">
        <v>715</v>
      </c>
      <c r="C734" t="s">
        <v>71</v>
      </c>
      <c r="D734" t="s">
        <v>751</v>
      </c>
      <c r="E734" t="s">
        <v>43</v>
      </c>
      <c r="F734" t="s">
        <v>719</v>
      </c>
      <c r="G734" t="s">
        <v>719</v>
      </c>
      <c r="H734" t="s">
        <v>22</v>
      </c>
      <c r="I734" t="s">
        <v>23</v>
      </c>
      <c r="J734">
        <v>0</v>
      </c>
      <c r="K734" t="s">
        <v>719</v>
      </c>
      <c r="L734">
        <v>0</v>
      </c>
      <c r="M734">
        <v>5</v>
      </c>
      <c r="N734" t="s">
        <v>120</v>
      </c>
      <c r="O734" t="s">
        <v>723</v>
      </c>
      <c r="P734" t="s">
        <v>739</v>
      </c>
      <c r="Q734" t="s">
        <v>47</v>
      </c>
      <c r="R734" t="s">
        <v>692</v>
      </c>
      <c r="U734" t="str">
        <f t="shared" si="33"/>
        <v>Chasing Won</v>
      </c>
      <c r="X734" t="str">
        <f t="shared" si="34"/>
        <v>Yes</v>
      </c>
      <c r="AA734" t="str">
        <f t="shared" si="35"/>
        <v>2019</v>
      </c>
    </row>
    <row r="735" spans="1:27" x14ac:dyDescent="0.35">
      <c r="A735">
        <v>11329</v>
      </c>
      <c r="B735" t="s">
        <v>715</v>
      </c>
      <c r="C735" t="s">
        <v>19</v>
      </c>
      <c r="D735" t="s">
        <v>752</v>
      </c>
      <c r="E735" t="s">
        <v>37</v>
      </c>
      <c r="F735" t="s">
        <v>20</v>
      </c>
      <c r="G735" t="s">
        <v>20</v>
      </c>
      <c r="H735" t="s">
        <v>22</v>
      </c>
      <c r="I735" t="s">
        <v>23</v>
      </c>
      <c r="J735">
        <v>0</v>
      </c>
      <c r="K735" t="s">
        <v>20</v>
      </c>
      <c r="L735">
        <v>0</v>
      </c>
      <c r="M735">
        <v>9</v>
      </c>
      <c r="N735" t="s">
        <v>753</v>
      </c>
      <c r="O735" t="s">
        <v>728</v>
      </c>
      <c r="P735" t="s">
        <v>40</v>
      </c>
      <c r="Q735" t="s">
        <v>663</v>
      </c>
      <c r="R735" t="s">
        <v>748</v>
      </c>
      <c r="U735" t="str">
        <f t="shared" si="33"/>
        <v>Chasing Won</v>
      </c>
      <c r="X735" t="str">
        <f t="shared" si="34"/>
        <v>Yes</v>
      </c>
      <c r="AA735" t="str">
        <f t="shared" si="35"/>
        <v>2019</v>
      </c>
    </row>
    <row r="736" spans="1:27" x14ac:dyDescent="0.35">
      <c r="A736">
        <v>11330</v>
      </c>
      <c r="B736" t="s">
        <v>715</v>
      </c>
      <c r="C736" t="s">
        <v>667</v>
      </c>
      <c r="D736" t="s">
        <v>752</v>
      </c>
      <c r="E736" t="s">
        <v>21</v>
      </c>
      <c r="F736" t="s">
        <v>141</v>
      </c>
      <c r="G736" t="s">
        <v>141</v>
      </c>
      <c r="H736" t="s">
        <v>22</v>
      </c>
      <c r="I736" t="s">
        <v>23</v>
      </c>
      <c r="J736">
        <v>0</v>
      </c>
      <c r="K736" t="s">
        <v>21</v>
      </c>
      <c r="L736">
        <v>1</v>
      </c>
      <c r="M736">
        <v>0</v>
      </c>
      <c r="N736" t="s">
        <v>515</v>
      </c>
      <c r="O736" t="s">
        <v>726</v>
      </c>
      <c r="P736" t="s">
        <v>664</v>
      </c>
      <c r="Q736" t="s">
        <v>660</v>
      </c>
      <c r="R736" t="s">
        <v>657</v>
      </c>
      <c r="U736" t="str">
        <f t="shared" si="33"/>
        <v>Batting First Won</v>
      </c>
      <c r="X736" t="str">
        <f t="shared" si="34"/>
        <v>No</v>
      </c>
      <c r="AA736" t="str">
        <f t="shared" si="35"/>
        <v>2019</v>
      </c>
    </row>
    <row r="737" spans="1:27" x14ac:dyDescent="0.35">
      <c r="A737">
        <v>11331</v>
      </c>
      <c r="B737" t="s">
        <v>715</v>
      </c>
      <c r="C737" t="s">
        <v>158</v>
      </c>
      <c r="D737" t="s">
        <v>754</v>
      </c>
      <c r="E737" t="s">
        <v>146</v>
      </c>
      <c r="F737" t="s">
        <v>719</v>
      </c>
      <c r="G737" t="s">
        <v>719</v>
      </c>
      <c r="H737" t="s">
        <v>22</v>
      </c>
      <c r="I737" t="s">
        <v>23</v>
      </c>
      <c r="J737">
        <v>0</v>
      </c>
      <c r="K737" t="s">
        <v>719</v>
      </c>
      <c r="L737">
        <v>0</v>
      </c>
      <c r="M737">
        <v>6</v>
      </c>
      <c r="N737" t="s">
        <v>113</v>
      </c>
      <c r="O737" t="s">
        <v>161</v>
      </c>
      <c r="P737" t="s">
        <v>34</v>
      </c>
      <c r="Q737" t="s">
        <v>741</v>
      </c>
      <c r="R737" t="s">
        <v>687</v>
      </c>
      <c r="U737" t="str">
        <f t="shared" si="33"/>
        <v>Chasing Won</v>
      </c>
      <c r="X737" t="str">
        <f t="shared" si="34"/>
        <v>Yes</v>
      </c>
      <c r="AA737" t="str">
        <f t="shared" si="35"/>
        <v>2019</v>
      </c>
    </row>
    <row r="738" spans="1:27" x14ac:dyDescent="0.35">
      <c r="A738">
        <v>11332</v>
      </c>
      <c r="B738" t="s">
        <v>715</v>
      </c>
      <c r="C738" t="s">
        <v>167</v>
      </c>
      <c r="D738" t="s">
        <v>755</v>
      </c>
      <c r="E738" t="s">
        <v>20</v>
      </c>
      <c r="F738" t="s">
        <v>141</v>
      </c>
      <c r="G738" t="s">
        <v>141</v>
      </c>
      <c r="H738" t="s">
        <v>22</v>
      </c>
      <c r="I738" t="s">
        <v>23</v>
      </c>
      <c r="J738">
        <v>0</v>
      </c>
      <c r="K738" t="s">
        <v>141</v>
      </c>
      <c r="L738">
        <v>0</v>
      </c>
      <c r="M738">
        <v>6</v>
      </c>
      <c r="N738" t="s">
        <v>160</v>
      </c>
      <c r="O738" t="s">
        <v>717</v>
      </c>
      <c r="P738" t="s">
        <v>663</v>
      </c>
      <c r="Q738" t="s">
        <v>657</v>
      </c>
      <c r="R738" t="s">
        <v>664</v>
      </c>
      <c r="U738" t="str">
        <f t="shared" si="33"/>
        <v>Chasing Won</v>
      </c>
      <c r="X738" t="str">
        <f t="shared" si="34"/>
        <v>Yes</v>
      </c>
      <c r="AA738" t="str">
        <f t="shared" si="35"/>
        <v>2019</v>
      </c>
    </row>
    <row r="739" spans="1:27" x14ac:dyDescent="0.35">
      <c r="A739">
        <v>11333</v>
      </c>
      <c r="B739" t="s">
        <v>715</v>
      </c>
      <c r="C739" t="s">
        <v>667</v>
      </c>
      <c r="D739" t="s">
        <v>756</v>
      </c>
      <c r="E739" t="s">
        <v>21</v>
      </c>
      <c r="F739" t="s">
        <v>43</v>
      </c>
      <c r="G739" t="s">
        <v>43</v>
      </c>
      <c r="H739" t="s">
        <v>22</v>
      </c>
      <c r="I739" t="s">
        <v>23</v>
      </c>
      <c r="J739">
        <v>0</v>
      </c>
      <c r="K739" t="s">
        <v>21</v>
      </c>
      <c r="L739">
        <v>17</v>
      </c>
      <c r="M739">
        <v>0</v>
      </c>
      <c r="N739" t="s">
        <v>250</v>
      </c>
      <c r="O739" t="s">
        <v>726</v>
      </c>
      <c r="P739" t="s">
        <v>692</v>
      </c>
      <c r="Q739" t="s">
        <v>47</v>
      </c>
      <c r="R739" t="s">
        <v>660</v>
      </c>
      <c r="U739" t="str">
        <f t="shared" si="33"/>
        <v>Batting First Won</v>
      </c>
      <c r="X739" t="str">
        <f t="shared" si="34"/>
        <v>No</v>
      </c>
      <c r="AA739" t="str">
        <f t="shared" si="35"/>
        <v>2019</v>
      </c>
    </row>
    <row r="740" spans="1:27" x14ac:dyDescent="0.35">
      <c r="A740">
        <v>11334</v>
      </c>
      <c r="B740" t="s">
        <v>715</v>
      </c>
      <c r="C740" t="s">
        <v>61</v>
      </c>
      <c r="D740" t="s">
        <v>757</v>
      </c>
      <c r="E740" t="s">
        <v>37</v>
      </c>
      <c r="F740" t="s">
        <v>146</v>
      </c>
      <c r="G740" t="s">
        <v>146</v>
      </c>
      <c r="H740" t="s">
        <v>22</v>
      </c>
      <c r="I740" t="s">
        <v>23</v>
      </c>
      <c r="J740">
        <v>0</v>
      </c>
      <c r="K740" t="s">
        <v>146</v>
      </c>
      <c r="L740">
        <v>0</v>
      </c>
      <c r="M740">
        <v>3</v>
      </c>
      <c r="N740" t="s">
        <v>592</v>
      </c>
      <c r="O740" t="s">
        <v>64</v>
      </c>
      <c r="P740" t="s">
        <v>748</v>
      </c>
      <c r="Q740" t="s">
        <v>690</v>
      </c>
      <c r="R740" t="s">
        <v>40</v>
      </c>
      <c r="U740" t="str">
        <f t="shared" si="33"/>
        <v>Chasing Won</v>
      </c>
      <c r="X740" t="str">
        <f t="shared" si="34"/>
        <v>Yes</v>
      </c>
      <c r="AA740" t="str">
        <f t="shared" si="35"/>
        <v>2019</v>
      </c>
    </row>
    <row r="741" spans="1:27" x14ac:dyDescent="0.35">
      <c r="A741">
        <v>11335</v>
      </c>
      <c r="B741" t="s">
        <v>715</v>
      </c>
      <c r="C741" t="s">
        <v>167</v>
      </c>
      <c r="D741" t="s">
        <v>758</v>
      </c>
      <c r="E741" t="s">
        <v>29</v>
      </c>
      <c r="F741" t="s">
        <v>141</v>
      </c>
      <c r="G741" t="s">
        <v>141</v>
      </c>
      <c r="H741" t="s">
        <v>22</v>
      </c>
      <c r="I741" t="s">
        <v>23</v>
      </c>
      <c r="J741">
        <v>0</v>
      </c>
      <c r="K741" t="s">
        <v>29</v>
      </c>
      <c r="L741">
        <v>46</v>
      </c>
      <c r="M741">
        <v>0</v>
      </c>
      <c r="N741" t="s">
        <v>110</v>
      </c>
      <c r="O741" t="s">
        <v>717</v>
      </c>
      <c r="P741" t="s">
        <v>663</v>
      </c>
      <c r="Q741" t="s">
        <v>657</v>
      </c>
      <c r="R741" t="s">
        <v>664</v>
      </c>
      <c r="U741" t="str">
        <f t="shared" si="33"/>
        <v>Batting First Won</v>
      </c>
      <c r="X741" t="str">
        <f t="shared" si="34"/>
        <v>No</v>
      </c>
      <c r="AA741" t="str">
        <f t="shared" si="35"/>
        <v>2019</v>
      </c>
    </row>
    <row r="742" spans="1:27" x14ac:dyDescent="0.35">
      <c r="A742">
        <v>11336</v>
      </c>
      <c r="B742" t="s">
        <v>715</v>
      </c>
      <c r="C742" t="s">
        <v>158</v>
      </c>
      <c r="D742" t="s">
        <v>759</v>
      </c>
      <c r="E742" t="s">
        <v>20</v>
      </c>
      <c r="F742" t="s">
        <v>146</v>
      </c>
      <c r="G742" t="s">
        <v>146</v>
      </c>
      <c r="H742" t="s">
        <v>22</v>
      </c>
      <c r="I742" t="s">
        <v>23</v>
      </c>
      <c r="J742">
        <v>0</v>
      </c>
      <c r="K742" t="s">
        <v>146</v>
      </c>
      <c r="L742">
        <v>0</v>
      </c>
      <c r="M742">
        <v>7</v>
      </c>
      <c r="N742" t="s">
        <v>114</v>
      </c>
      <c r="O742" t="s">
        <v>161</v>
      </c>
      <c r="P742" t="s">
        <v>687</v>
      </c>
      <c r="Q742" t="s">
        <v>760</v>
      </c>
      <c r="R742" t="s">
        <v>761</v>
      </c>
      <c r="U742" t="str">
        <f t="shared" si="33"/>
        <v>Chasing Won</v>
      </c>
      <c r="X742" t="str">
        <f t="shared" si="34"/>
        <v>Yes</v>
      </c>
      <c r="AA742" t="str">
        <f t="shared" si="35"/>
        <v>2019</v>
      </c>
    </row>
    <row r="743" spans="1:27" x14ac:dyDescent="0.35">
      <c r="A743">
        <v>11337</v>
      </c>
      <c r="B743" t="s">
        <v>715</v>
      </c>
      <c r="C743" t="s">
        <v>71</v>
      </c>
      <c r="D743" t="s">
        <v>762</v>
      </c>
      <c r="E743" t="s">
        <v>719</v>
      </c>
      <c r="F743" t="s">
        <v>21</v>
      </c>
      <c r="G743" t="s">
        <v>719</v>
      </c>
      <c r="H743" t="s">
        <v>50</v>
      </c>
      <c r="I743" t="s">
        <v>23</v>
      </c>
      <c r="J743">
        <v>0</v>
      </c>
      <c r="K743" t="s">
        <v>719</v>
      </c>
      <c r="L743">
        <v>16</v>
      </c>
      <c r="M743">
        <v>0</v>
      </c>
      <c r="N743" t="s">
        <v>117</v>
      </c>
      <c r="O743" t="s">
        <v>723</v>
      </c>
      <c r="P743" t="s">
        <v>692</v>
      </c>
      <c r="Q743" t="s">
        <v>67</v>
      </c>
      <c r="R743" t="s">
        <v>47</v>
      </c>
      <c r="U743" t="str">
        <f t="shared" si="33"/>
        <v>Batting First Won</v>
      </c>
      <c r="X743" t="str">
        <f t="shared" si="34"/>
        <v>Yes</v>
      </c>
      <c r="AA743" t="str">
        <f t="shared" si="35"/>
        <v>2019</v>
      </c>
    </row>
    <row r="744" spans="1:27" x14ac:dyDescent="0.35">
      <c r="A744">
        <v>11338</v>
      </c>
      <c r="B744" t="s">
        <v>715</v>
      </c>
      <c r="C744" t="s">
        <v>61</v>
      </c>
      <c r="D744" t="s">
        <v>762</v>
      </c>
      <c r="E744" t="s">
        <v>37</v>
      </c>
      <c r="F744" t="s">
        <v>29</v>
      </c>
      <c r="G744" t="s">
        <v>29</v>
      </c>
      <c r="H744" t="s">
        <v>22</v>
      </c>
      <c r="I744" t="s">
        <v>23</v>
      </c>
      <c r="J744">
        <v>0</v>
      </c>
      <c r="K744" t="s">
        <v>37</v>
      </c>
      <c r="L744">
        <v>34</v>
      </c>
      <c r="M744">
        <v>0</v>
      </c>
      <c r="N744" t="s">
        <v>577</v>
      </c>
      <c r="O744" t="s">
        <v>64</v>
      </c>
      <c r="P744" t="s">
        <v>748</v>
      </c>
      <c r="Q744" t="s">
        <v>40</v>
      </c>
      <c r="R744" t="s">
        <v>690</v>
      </c>
      <c r="U744" t="str">
        <f t="shared" si="33"/>
        <v>Batting First Won</v>
      </c>
      <c r="X744" t="str">
        <f t="shared" si="34"/>
        <v>No</v>
      </c>
      <c r="AA744" t="str">
        <f t="shared" si="35"/>
        <v>2019</v>
      </c>
    </row>
    <row r="745" spans="1:27" x14ac:dyDescent="0.35">
      <c r="A745">
        <v>11339</v>
      </c>
      <c r="B745" t="s">
        <v>715</v>
      </c>
      <c r="C745" t="s">
        <v>19</v>
      </c>
      <c r="D745" t="s">
        <v>763</v>
      </c>
      <c r="E745" t="s">
        <v>20</v>
      </c>
      <c r="F745" t="s">
        <v>43</v>
      </c>
      <c r="G745" t="s">
        <v>43</v>
      </c>
      <c r="H745" t="s">
        <v>22</v>
      </c>
      <c r="I745" t="s">
        <v>23</v>
      </c>
      <c r="J745">
        <v>0</v>
      </c>
      <c r="K745" t="s">
        <v>20</v>
      </c>
      <c r="L745">
        <v>45</v>
      </c>
      <c r="M745">
        <v>0</v>
      </c>
      <c r="N745" t="s">
        <v>109</v>
      </c>
      <c r="O745" t="s">
        <v>728</v>
      </c>
      <c r="P745" t="s">
        <v>34</v>
      </c>
      <c r="Q745" t="s">
        <v>665</v>
      </c>
      <c r="R745" t="s">
        <v>741</v>
      </c>
      <c r="U745" t="str">
        <f t="shared" si="33"/>
        <v>Batting First Won</v>
      </c>
      <c r="X745" t="str">
        <f t="shared" si="34"/>
        <v>No</v>
      </c>
      <c r="AA745" t="str">
        <f t="shared" si="35"/>
        <v>2019</v>
      </c>
    </row>
    <row r="746" spans="1:27" x14ac:dyDescent="0.35">
      <c r="A746">
        <v>11340</v>
      </c>
      <c r="B746" t="s">
        <v>715</v>
      </c>
      <c r="C746" t="s">
        <v>667</v>
      </c>
      <c r="D746" t="s">
        <v>764</v>
      </c>
      <c r="E746" t="s">
        <v>21</v>
      </c>
      <c r="F746" t="s">
        <v>146</v>
      </c>
      <c r="G746" t="s">
        <v>146</v>
      </c>
      <c r="H746" t="s">
        <v>22</v>
      </c>
      <c r="I746" t="s">
        <v>418</v>
      </c>
      <c r="J746">
        <v>0</v>
      </c>
      <c r="L746">
        <v>0</v>
      </c>
      <c r="M746">
        <v>0</v>
      </c>
      <c r="O746" t="s">
        <v>726</v>
      </c>
      <c r="P746" t="s">
        <v>663</v>
      </c>
      <c r="Q746" t="s">
        <v>739</v>
      </c>
      <c r="R746" t="s">
        <v>657</v>
      </c>
      <c r="U746" t="str">
        <f t="shared" si="33"/>
        <v>Chasing Won</v>
      </c>
      <c r="X746" t="str">
        <f t="shared" si="34"/>
        <v>No</v>
      </c>
      <c r="AA746" t="str">
        <f t="shared" si="35"/>
        <v>2019</v>
      </c>
    </row>
    <row r="747" spans="1:27" x14ac:dyDescent="0.35">
      <c r="A747">
        <v>11341</v>
      </c>
      <c r="B747" t="s">
        <v>715</v>
      </c>
      <c r="C747" t="s">
        <v>167</v>
      </c>
      <c r="D747" s="1">
        <v>43470</v>
      </c>
      <c r="E747" t="s">
        <v>141</v>
      </c>
      <c r="F747" t="s">
        <v>719</v>
      </c>
      <c r="G747" t="s">
        <v>719</v>
      </c>
      <c r="H747" t="s">
        <v>22</v>
      </c>
      <c r="I747" t="s">
        <v>23</v>
      </c>
      <c r="J747">
        <v>0</v>
      </c>
      <c r="K747" t="s">
        <v>141</v>
      </c>
      <c r="L747">
        <v>80</v>
      </c>
      <c r="M747">
        <v>0</v>
      </c>
      <c r="N747" t="s">
        <v>93</v>
      </c>
      <c r="O747" t="s">
        <v>717</v>
      </c>
      <c r="P747" t="s">
        <v>690</v>
      </c>
      <c r="Q747" t="s">
        <v>40</v>
      </c>
      <c r="R747" t="s">
        <v>748</v>
      </c>
      <c r="U747" t="str">
        <f t="shared" si="33"/>
        <v>Batting First Won</v>
      </c>
      <c r="X747" t="str">
        <f t="shared" si="34"/>
        <v>No</v>
      </c>
      <c r="AA747" t="str">
        <f t="shared" si="35"/>
        <v>2019</v>
      </c>
    </row>
    <row r="748" spans="1:27" x14ac:dyDescent="0.35">
      <c r="A748">
        <v>11342</v>
      </c>
      <c r="B748" t="s">
        <v>715</v>
      </c>
      <c r="C748" t="s">
        <v>55</v>
      </c>
      <c r="D748" s="1">
        <v>43501</v>
      </c>
      <c r="E748" t="s">
        <v>29</v>
      </c>
      <c r="F748" t="s">
        <v>20</v>
      </c>
      <c r="G748" t="s">
        <v>29</v>
      </c>
      <c r="H748" t="s">
        <v>50</v>
      </c>
      <c r="I748" t="s">
        <v>105</v>
      </c>
      <c r="J748">
        <v>0</v>
      </c>
      <c r="K748" t="s">
        <v>29</v>
      </c>
      <c r="L748">
        <v>0</v>
      </c>
      <c r="M748">
        <v>0</v>
      </c>
      <c r="N748" t="s">
        <v>60</v>
      </c>
      <c r="O748" t="s">
        <v>57</v>
      </c>
      <c r="P748" t="s">
        <v>34</v>
      </c>
      <c r="Q748" t="s">
        <v>665</v>
      </c>
      <c r="R748" t="s">
        <v>741</v>
      </c>
      <c r="U748" t="str">
        <f t="shared" si="33"/>
        <v>Chasing Won</v>
      </c>
      <c r="X748" t="str">
        <f t="shared" si="34"/>
        <v>Yes</v>
      </c>
      <c r="AA748" t="str">
        <f t="shared" si="35"/>
        <v>2019</v>
      </c>
    </row>
    <row r="749" spans="1:27" x14ac:dyDescent="0.35">
      <c r="A749">
        <v>11343</v>
      </c>
      <c r="B749" t="s">
        <v>715</v>
      </c>
      <c r="C749" t="s">
        <v>658</v>
      </c>
      <c r="D749" s="1">
        <v>43529</v>
      </c>
      <c r="E749" t="s">
        <v>43</v>
      </c>
      <c r="F749" t="s">
        <v>37</v>
      </c>
      <c r="G749" t="s">
        <v>37</v>
      </c>
      <c r="H749" t="s">
        <v>22</v>
      </c>
      <c r="I749" t="s">
        <v>23</v>
      </c>
      <c r="J749">
        <v>0</v>
      </c>
      <c r="K749" t="s">
        <v>37</v>
      </c>
      <c r="L749">
        <v>0</v>
      </c>
      <c r="M749">
        <v>7</v>
      </c>
      <c r="N749" t="s">
        <v>765</v>
      </c>
      <c r="O749" t="s">
        <v>730</v>
      </c>
      <c r="P749" t="s">
        <v>692</v>
      </c>
      <c r="Q749" t="s">
        <v>47</v>
      </c>
      <c r="R749" t="s">
        <v>67</v>
      </c>
      <c r="U749" t="str">
        <f t="shared" si="33"/>
        <v>Chasing Won</v>
      </c>
      <c r="X749" t="str">
        <f t="shared" si="34"/>
        <v>Yes</v>
      </c>
      <c r="AA749" t="str">
        <f t="shared" si="35"/>
        <v>2019</v>
      </c>
    </row>
    <row r="750" spans="1:27" x14ac:dyDescent="0.35">
      <c r="A750">
        <v>11344</v>
      </c>
      <c r="B750" t="s">
        <v>715</v>
      </c>
      <c r="C750" t="s">
        <v>71</v>
      </c>
      <c r="D750" s="1">
        <v>43560</v>
      </c>
      <c r="E750" t="s">
        <v>146</v>
      </c>
      <c r="F750" t="s">
        <v>719</v>
      </c>
      <c r="G750" t="s">
        <v>146</v>
      </c>
      <c r="H750" t="s">
        <v>50</v>
      </c>
      <c r="I750" t="s">
        <v>23</v>
      </c>
      <c r="J750">
        <v>0</v>
      </c>
      <c r="K750" t="s">
        <v>719</v>
      </c>
      <c r="L750">
        <v>0</v>
      </c>
      <c r="M750">
        <v>5</v>
      </c>
      <c r="N750" t="s">
        <v>207</v>
      </c>
      <c r="O750" t="s">
        <v>723</v>
      </c>
      <c r="P750" t="s">
        <v>748</v>
      </c>
      <c r="Q750" t="s">
        <v>690</v>
      </c>
      <c r="R750" t="s">
        <v>40</v>
      </c>
      <c r="U750" t="str">
        <f t="shared" si="33"/>
        <v>Chasing Won</v>
      </c>
      <c r="X750" t="str">
        <f t="shared" si="34"/>
        <v>No</v>
      </c>
      <c r="AA750" t="str">
        <f t="shared" si="35"/>
        <v>2019</v>
      </c>
    </row>
    <row r="751" spans="1:27" x14ac:dyDescent="0.35">
      <c r="A751">
        <v>11345</v>
      </c>
      <c r="B751" t="s">
        <v>715</v>
      </c>
      <c r="C751" t="s">
        <v>667</v>
      </c>
      <c r="D751" s="1">
        <v>43560</v>
      </c>
      <c r="E751" t="s">
        <v>20</v>
      </c>
      <c r="F751" t="s">
        <v>21</v>
      </c>
      <c r="G751" t="s">
        <v>21</v>
      </c>
      <c r="H751" t="s">
        <v>22</v>
      </c>
      <c r="I751" t="s">
        <v>23</v>
      </c>
      <c r="J751">
        <v>0</v>
      </c>
      <c r="K751" t="s">
        <v>21</v>
      </c>
      <c r="L751">
        <v>0</v>
      </c>
      <c r="M751">
        <v>4</v>
      </c>
      <c r="N751" t="s">
        <v>766</v>
      </c>
      <c r="O751" t="s">
        <v>726</v>
      </c>
      <c r="P751" t="s">
        <v>663</v>
      </c>
      <c r="Q751" t="s">
        <v>657</v>
      </c>
      <c r="R751" t="s">
        <v>739</v>
      </c>
      <c r="U751" t="str">
        <f t="shared" si="33"/>
        <v>Chasing Won</v>
      </c>
      <c r="X751" t="str">
        <f t="shared" si="34"/>
        <v>Yes</v>
      </c>
      <c r="AA751" t="str">
        <f t="shared" si="35"/>
        <v>2019</v>
      </c>
    </row>
    <row r="752" spans="1:27" x14ac:dyDescent="0.35">
      <c r="A752">
        <v>11346</v>
      </c>
      <c r="B752" t="s">
        <v>715</v>
      </c>
      <c r="C752" t="s">
        <v>658</v>
      </c>
      <c r="D752" s="1">
        <v>43590</v>
      </c>
      <c r="E752" t="s">
        <v>141</v>
      </c>
      <c r="F752" t="s">
        <v>43</v>
      </c>
      <c r="G752" t="s">
        <v>43</v>
      </c>
      <c r="H752" t="s">
        <v>22</v>
      </c>
      <c r="I752" t="s">
        <v>23</v>
      </c>
      <c r="J752">
        <v>0</v>
      </c>
      <c r="K752" t="s">
        <v>43</v>
      </c>
      <c r="L752">
        <v>0</v>
      </c>
      <c r="M752">
        <v>6</v>
      </c>
      <c r="N752" t="s">
        <v>659</v>
      </c>
      <c r="O752" t="s">
        <v>730</v>
      </c>
      <c r="P752" t="s">
        <v>67</v>
      </c>
      <c r="Q752" t="s">
        <v>47</v>
      </c>
      <c r="R752" t="s">
        <v>692</v>
      </c>
      <c r="U752" t="str">
        <f t="shared" si="33"/>
        <v>Chasing Won</v>
      </c>
      <c r="X752" t="str">
        <f t="shared" si="34"/>
        <v>Yes</v>
      </c>
      <c r="AA752" t="str">
        <f t="shared" si="35"/>
        <v>2019</v>
      </c>
    </row>
    <row r="753" spans="1:27" x14ac:dyDescent="0.35">
      <c r="A753">
        <v>11347</v>
      </c>
      <c r="B753" t="s">
        <v>715</v>
      </c>
      <c r="C753" t="s">
        <v>55</v>
      </c>
      <c r="D753" s="1">
        <v>43590</v>
      </c>
      <c r="E753" t="s">
        <v>37</v>
      </c>
      <c r="F753" t="s">
        <v>29</v>
      </c>
      <c r="G753" t="s">
        <v>29</v>
      </c>
      <c r="H753" t="s">
        <v>22</v>
      </c>
      <c r="I753" t="s">
        <v>23</v>
      </c>
      <c r="J753">
        <v>0</v>
      </c>
      <c r="K753" t="s">
        <v>29</v>
      </c>
      <c r="L753">
        <v>0</v>
      </c>
      <c r="M753">
        <v>9</v>
      </c>
      <c r="N753" t="s">
        <v>598</v>
      </c>
      <c r="O753" t="s">
        <v>57</v>
      </c>
      <c r="P753" t="s">
        <v>741</v>
      </c>
      <c r="Q753" t="s">
        <v>665</v>
      </c>
      <c r="R753" t="s">
        <v>34</v>
      </c>
      <c r="U753" t="str">
        <f t="shared" si="33"/>
        <v>Chasing Won</v>
      </c>
      <c r="X753" t="str">
        <f t="shared" si="34"/>
        <v>Yes</v>
      </c>
      <c r="AA753" t="str">
        <f t="shared" si="35"/>
        <v>2019</v>
      </c>
    </row>
    <row r="754" spans="1:27" x14ac:dyDescent="0.35">
      <c r="A754">
        <v>11412</v>
      </c>
      <c r="B754" t="s">
        <v>715</v>
      </c>
      <c r="C754" t="s">
        <v>167</v>
      </c>
      <c r="D754" s="1">
        <v>43651</v>
      </c>
      <c r="E754" t="s">
        <v>141</v>
      </c>
      <c r="F754" t="s">
        <v>29</v>
      </c>
      <c r="G754" t="s">
        <v>141</v>
      </c>
      <c r="H754" t="s">
        <v>50</v>
      </c>
      <c r="I754" t="s">
        <v>23</v>
      </c>
      <c r="J754">
        <v>0</v>
      </c>
      <c r="K754" t="s">
        <v>29</v>
      </c>
      <c r="L754">
        <v>0</v>
      </c>
      <c r="M754">
        <v>6</v>
      </c>
      <c r="N754" t="s">
        <v>697</v>
      </c>
      <c r="O754" t="s">
        <v>717</v>
      </c>
      <c r="P754" t="s">
        <v>663</v>
      </c>
      <c r="Q754" t="s">
        <v>40</v>
      </c>
      <c r="R754" t="s">
        <v>748</v>
      </c>
      <c r="U754" t="str">
        <f t="shared" si="33"/>
        <v>Chasing Won</v>
      </c>
      <c r="X754" t="str">
        <f t="shared" si="34"/>
        <v>No</v>
      </c>
      <c r="AA754" t="str">
        <f t="shared" si="35"/>
        <v>2019</v>
      </c>
    </row>
    <row r="755" spans="1:27" x14ac:dyDescent="0.35">
      <c r="A755">
        <v>11413</v>
      </c>
      <c r="B755" t="s">
        <v>715</v>
      </c>
      <c r="C755" t="s">
        <v>429</v>
      </c>
      <c r="D755" s="1">
        <v>43682</v>
      </c>
      <c r="E755" t="s">
        <v>20</v>
      </c>
      <c r="F755" t="s">
        <v>719</v>
      </c>
      <c r="G755" t="s">
        <v>719</v>
      </c>
      <c r="H755" t="s">
        <v>22</v>
      </c>
      <c r="I755" t="s">
        <v>23</v>
      </c>
      <c r="J755">
        <v>0</v>
      </c>
      <c r="K755" t="s">
        <v>719</v>
      </c>
      <c r="L755">
        <v>0</v>
      </c>
      <c r="M755">
        <v>2</v>
      </c>
      <c r="N755" t="s">
        <v>113</v>
      </c>
      <c r="O755" t="s">
        <v>767</v>
      </c>
      <c r="U755" t="str">
        <f t="shared" si="33"/>
        <v>Chasing Won</v>
      </c>
      <c r="X755" t="str">
        <f t="shared" si="34"/>
        <v>Yes</v>
      </c>
      <c r="AA755" t="str">
        <f t="shared" si="35"/>
        <v>2019</v>
      </c>
    </row>
    <row r="756" spans="1:27" x14ac:dyDescent="0.35">
      <c r="A756">
        <v>11414</v>
      </c>
      <c r="B756" t="s">
        <v>715</v>
      </c>
      <c r="C756" t="s">
        <v>429</v>
      </c>
      <c r="D756" s="1">
        <v>43743</v>
      </c>
      <c r="E756" t="s">
        <v>719</v>
      </c>
      <c r="F756" t="s">
        <v>141</v>
      </c>
      <c r="G756" t="s">
        <v>141</v>
      </c>
      <c r="H756" t="s">
        <v>22</v>
      </c>
      <c r="I756" t="s">
        <v>23</v>
      </c>
      <c r="J756">
        <v>0</v>
      </c>
      <c r="K756" t="s">
        <v>141</v>
      </c>
      <c r="L756">
        <v>0</v>
      </c>
      <c r="M756">
        <v>6</v>
      </c>
      <c r="N756" t="s">
        <v>437</v>
      </c>
      <c r="O756" t="s">
        <v>767</v>
      </c>
      <c r="P756" t="s">
        <v>761</v>
      </c>
      <c r="Q756" t="s">
        <v>692</v>
      </c>
      <c r="R756" t="s">
        <v>768</v>
      </c>
      <c r="U756" t="str">
        <f t="shared" si="33"/>
        <v>Chasing Won</v>
      </c>
      <c r="X756" t="str">
        <f t="shared" si="34"/>
        <v>Yes</v>
      </c>
      <c r="AA756" t="str">
        <f t="shared" si="35"/>
        <v>2019</v>
      </c>
    </row>
    <row r="757" spans="1:27" x14ac:dyDescent="0.35">
      <c r="A757">
        <v>11415</v>
      </c>
      <c r="B757" t="s">
        <v>715</v>
      </c>
      <c r="C757" t="s">
        <v>19</v>
      </c>
      <c r="D757" s="1">
        <v>43804</v>
      </c>
      <c r="E757" t="s">
        <v>29</v>
      </c>
      <c r="F757" t="s">
        <v>141</v>
      </c>
      <c r="G757" t="s">
        <v>29</v>
      </c>
      <c r="H757" t="s">
        <v>50</v>
      </c>
      <c r="I757" t="s">
        <v>23</v>
      </c>
      <c r="J757">
        <v>0</v>
      </c>
      <c r="K757" t="s">
        <v>29</v>
      </c>
      <c r="L757">
        <v>1</v>
      </c>
      <c r="M757">
        <v>0</v>
      </c>
      <c r="N757" t="s">
        <v>60</v>
      </c>
      <c r="O757" t="s">
        <v>728</v>
      </c>
      <c r="P757" t="s">
        <v>40</v>
      </c>
      <c r="Q757" t="s">
        <v>748</v>
      </c>
      <c r="R757" t="s">
        <v>663</v>
      </c>
      <c r="U757" t="str">
        <f t="shared" si="33"/>
        <v>Batting First Won</v>
      </c>
      <c r="X757" t="str">
        <f t="shared" si="34"/>
        <v>Yes</v>
      </c>
      <c r="AA757" t="str">
        <f t="shared" si="35"/>
        <v>2019</v>
      </c>
    </row>
  </sheetData>
  <conditionalFormatting sqref="A1:R757 U1">
    <cfRule type="containsBlanks" priority="2">
      <formula>LEN(TRIM(A1))=0</formula>
    </cfRule>
  </conditionalFormatting>
  <conditionalFormatting sqref="D9">
    <cfRule type="containsText" dxfId="11" priority="1" operator="containsText" text=" ">
      <formula>NOT(ISERROR(SEARCH(" ",D9)))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zoomScale="97" workbookViewId="0">
      <selection sqref="A1:B18"/>
    </sheetView>
  </sheetViews>
  <sheetFormatPr defaultRowHeight="14.5" x14ac:dyDescent="0.35"/>
  <cols>
    <col min="1" max="1" width="24.54296875" bestFit="1" customWidth="1"/>
    <col min="2" max="2" width="10.08984375" bestFit="1" customWidth="1"/>
    <col min="6" max="6" width="12.36328125" bestFit="1" customWidth="1"/>
    <col min="7" max="7" width="15.26953125" bestFit="1" customWidth="1"/>
    <col min="8" max="8" width="4.453125" bestFit="1" customWidth="1"/>
    <col min="9" max="9" width="10.7265625" bestFit="1" customWidth="1"/>
    <col min="12" max="12" width="24.54296875" bestFit="1" customWidth="1"/>
    <col min="13" max="13" width="10.08984375" bestFit="1" customWidth="1"/>
  </cols>
  <sheetData>
    <row r="1" spans="1:13" x14ac:dyDescent="0.35">
      <c r="A1" s="5" t="s">
        <v>772</v>
      </c>
      <c r="B1" s="7" t="s">
        <v>775</v>
      </c>
    </row>
    <row r="2" spans="1:13" x14ac:dyDescent="0.35">
      <c r="A2" s="3" t="s">
        <v>141</v>
      </c>
      <c r="B2" s="4">
        <v>100</v>
      </c>
      <c r="F2" s="5" t="s">
        <v>775</v>
      </c>
      <c r="G2" s="7" t="s">
        <v>776</v>
      </c>
      <c r="L2" s="2" t="s">
        <v>772</v>
      </c>
      <c r="M2" t="s">
        <v>775</v>
      </c>
    </row>
    <row r="3" spans="1:13" x14ac:dyDescent="0.35">
      <c r="A3" s="3" t="s">
        <v>154</v>
      </c>
      <c r="B3" s="4">
        <v>29</v>
      </c>
      <c r="F3" s="8" t="s">
        <v>772</v>
      </c>
      <c r="G3" t="s">
        <v>50</v>
      </c>
      <c r="H3" s="5" t="s">
        <v>22</v>
      </c>
      <c r="I3" s="6" t="s">
        <v>774</v>
      </c>
      <c r="L3" s="3" t="s">
        <v>141</v>
      </c>
      <c r="M3" s="4">
        <v>89</v>
      </c>
    </row>
    <row r="4" spans="1:13" x14ac:dyDescent="0.35">
      <c r="A4" s="3" t="s">
        <v>719</v>
      </c>
      <c r="B4" s="4">
        <v>10</v>
      </c>
      <c r="F4" s="3" t="s">
        <v>135</v>
      </c>
      <c r="G4" s="4">
        <v>26</v>
      </c>
      <c r="H4" s="4">
        <v>32</v>
      </c>
      <c r="I4" s="4">
        <v>58</v>
      </c>
      <c r="L4" s="3" t="s">
        <v>154</v>
      </c>
      <c r="M4" s="4">
        <v>43</v>
      </c>
    </row>
    <row r="5" spans="1:13" x14ac:dyDescent="0.35">
      <c r="A5" s="3" t="s">
        <v>49</v>
      </c>
      <c r="B5" s="4">
        <v>67</v>
      </c>
      <c r="F5" s="3" t="s">
        <v>230</v>
      </c>
      <c r="G5" s="4">
        <v>35</v>
      </c>
      <c r="H5" s="4">
        <v>22</v>
      </c>
      <c r="I5" s="4">
        <v>57</v>
      </c>
      <c r="L5" s="3" t="s">
        <v>719</v>
      </c>
      <c r="M5" s="4">
        <v>10</v>
      </c>
    </row>
    <row r="6" spans="1:13" x14ac:dyDescent="0.35">
      <c r="A6" s="3" t="s">
        <v>36</v>
      </c>
      <c r="B6" s="4">
        <v>13</v>
      </c>
      <c r="F6" s="3" t="s">
        <v>304</v>
      </c>
      <c r="G6" s="4">
        <v>39</v>
      </c>
      <c r="H6" s="4">
        <v>21</v>
      </c>
      <c r="I6" s="4">
        <v>60</v>
      </c>
      <c r="L6" s="3" t="s">
        <v>49</v>
      </c>
      <c r="M6" s="4">
        <v>80</v>
      </c>
    </row>
    <row r="7" spans="1:13" x14ac:dyDescent="0.35">
      <c r="A7" s="3" t="s">
        <v>43</v>
      </c>
      <c r="B7" s="4">
        <v>82</v>
      </c>
      <c r="F7" s="3" t="s">
        <v>366</v>
      </c>
      <c r="G7" s="4">
        <v>25</v>
      </c>
      <c r="H7" s="4">
        <v>48</v>
      </c>
      <c r="I7" s="4">
        <v>73</v>
      </c>
      <c r="L7" s="3" t="s">
        <v>36</v>
      </c>
      <c r="M7" s="4">
        <v>15</v>
      </c>
    </row>
    <row r="8" spans="1:13" x14ac:dyDescent="0.35">
      <c r="A8" s="3" t="s">
        <v>371</v>
      </c>
      <c r="B8" s="4">
        <v>6</v>
      </c>
      <c r="F8" s="3" t="s">
        <v>425</v>
      </c>
      <c r="G8" s="4">
        <v>37</v>
      </c>
      <c r="H8" s="4">
        <v>37</v>
      </c>
      <c r="I8" s="4">
        <v>74</v>
      </c>
      <c r="L8" s="3" t="s">
        <v>43</v>
      </c>
      <c r="M8" s="4">
        <v>81</v>
      </c>
    </row>
    <row r="9" spans="1:13" x14ac:dyDescent="0.35">
      <c r="A9" s="3" t="s">
        <v>37</v>
      </c>
      <c r="B9" s="4">
        <v>92</v>
      </c>
      <c r="F9" s="3" t="s">
        <v>481</v>
      </c>
      <c r="G9" s="4">
        <v>45</v>
      </c>
      <c r="H9" s="4">
        <v>31</v>
      </c>
      <c r="I9" s="4">
        <v>76</v>
      </c>
      <c r="L9" s="3" t="s">
        <v>371</v>
      </c>
      <c r="M9" s="4">
        <v>8</v>
      </c>
    </row>
    <row r="10" spans="1:13" x14ac:dyDescent="0.35">
      <c r="A10" s="3" t="s">
        <v>29</v>
      </c>
      <c r="B10" s="4">
        <v>109</v>
      </c>
      <c r="F10" s="3" t="s">
        <v>529</v>
      </c>
      <c r="G10" s="4">
        <v>19</v>
      </c>
      <c r="H10" s="4">
        <v>41</v>
      </c>
      <c r="I10" s="4">
        <v>60</v>
      </c>
      <c r="L10" s="3" t="s">
        <v>37</v>
      </c>
      <c r="M10" s="4">
        <v>92</v>
      </c>
    </row>
    <row r="11" spans="1:13" x14ac:dyDescent="0.35">
      <c r="A11" s="3" t="s">
        <v>373</v>
      </c>
      <c r="B11" s="4">
        <v>12</v>
      </c>
      <c r="F11" s="3" t="s">
        <v>569</v>
      </c>
      <c r="G11" s="4">
        <v>25</v>
      </c>
      <c r="H11" s="4">
        <v>34</v>
      </c>
      <c r="I11" s="4">
        <v>59</v>
      </c>
      <c r="L11" s="3" t="s">
        <v>29</v>
      </c>
      <c r="M11" s="4">
        <v>98</v>
      </c>
    </row>
    <row r="12" spans="1:13" x14ac:dyDescent="0.35">
      <c r="A12" s="3" t="s">
        <v>146</v>
      </c>
      <c r="B12" s="4">
        <v>75</v>
      </c>
      <c r="F12" s="3" t="s">
        <v>610</v>
      </c>
      <c r="G12" s="4">
        <v>11</v>
      </c>
      <c r="H12" s="4">
        <v>49</v>
      </c>
      <c r="I12" s="4">
        <v>60</v>
      </c>
      <c r="L12" s="3" t="s">
        <v>373</v>
      </c>
      <c r="M12" s="4">
        <v>20</v>
      </c>
    </row>
    <row r="13" spans="1:13" x14ac:dyDescent="0.35">
      <c r="A13" s="3" t="s">
        <v>30</v>
      </c>
      <c r="B13" s="4">
        <v>10</v>
      </c>
      <c r="F13" s="3" t="s">
        <v>18</v>
      </c>
      <c r="G13" s="4">
        <v>11</v>
      </c>
      <c r="H13" s="4">
        <v>48</v>
      </c>
      <c r="I13" s="4">
        <v>59</v>
      </c>
      <c r="L13" s="3" t="s">
        <v>146</v>
      </c>
      <c r="M13" s="4">
        <v>80</v>
      </c>
    </row>
    <row r="14" spans="1:13" x14ac:dyDescent="0.35">
      <c r="A14" s="3" t="s">
        <v>611</v>
      </c>
      <c r="B14" s="4">
        <v>5</v>
      </c>
      <c r="F14" s="3" t="s">
        <v>654</v>
      </c>
      <c r="G14" s="4">
        <v>10</v>
      </c>
      <c r="H14" s="4">
        <v>50</v>
      </c>
      <c r="I14" s="4">
        <v>60</v>
      </c>
      <c r="L14" s="3" t="s">
        <v>30</v>
      </c>
      <c r="M14" s="4">
        <v>6</v>
      </c>
    </row>
    <row r="15" spans="1:13" x14ac:dyDescent="0.35">
      <c r="A15" s="3" t="s">
        <v>21</v>
      </c>
      <c r="B15" s="4">
        <v>84</v>
      </c>
      <c r="F15" s="3" t="s">
        <v>715</v>
      </c>
      <c r="G15" s="4">
        <v>10</v>
      </c>
      <c r="H15" s="4">
        <v>50</v>
      </c>
      <c r="I15" s="4">
        <v>60</v>
      </c>
      <c r="L15" s="3" t="s">
        <v>611</v>
      </c>
      <c r="M15" s="4">
        <v>7</v>
      </c>
    </row>
    <row r="16" spans="1:13" x14ac:dyDescent="0.35">
      <c r="A16" s="3" t="s">
        <v>20</v>
      </c>
      <c r="B16" s="4">
        <v>58</v>
      </c>
      <c r="F16" s="3" t="s">
        <v>774</v>
      </c>
      <c r="G16" s="4">
        <v>293</v>
      </c>
      <c r="H16" s="4">
        <v>463</v>
      </c>
      <c r="I16" s="4">
        <v>756</v>
      </c>
      <c r="L16" s="3" t="s">
        <v>21</v>
      </c>
      <c r="M16" s="4">
        <v>81</v>
      </c>
    </row>
    <row r="17" spans="1:13" x14ac:dyDescent="0.35">
      <c r="A17" s="3" t="s">
        <v>773</v>
      </c>
      <c r="B17" s="4">
        <v>4</v>
      </c>
      <c r="L17" s="3" t="s">
        <v>20</v>
      </c>
      <c r="M17" s="4">
        <v>46</v>
      </c>
    </row>
    <row r="18" spans="1:13" x14ac:dyDescent="0.35">
      <c r="A18" s="3" t="s">
        <v>774</v>
      </c>
      <c r="B18" s="4">
        <v>756</v>
      </c>
      <c r="L18" s="3" t="s">
        <v>774</v>
      </c>
      <c r="M18" s="4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Shubham Singh</cp:lastModifiedBy>
  <dcterms:created xsi:type="dcterms:W3CDTF">2026-02-24T23:05:38Z</dcterms:created>
  <dcterms:modified xsi:type="dcterms:W3CDTF">2026-02-25T04:13:21Z</dcterms:modified>
</cp:coreProperties>
</file>